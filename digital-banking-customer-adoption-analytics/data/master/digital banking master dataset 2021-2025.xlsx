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 autoCompressPictures="0"/>
  <xr:revisionPtr revIDLastSave="0" documentId="8_{9B00462D-CF5B-494E-8967-A37064DC3350}" xr6:coauthVersionLast="47" xr6:coauthVersionMax="47" xr10:uidLastSave="{00000000-0000-0000-0000-000000000000}"/>
  <bookViews>
    <workbookView xWindow="0" yWindow="0" windowWidth="0" windowHeight="0" firstSheet="3" activeTab="2" xr2:uid="{00000000-000D-0000-FFFF-FFFF00000000}"/>
  </bookViews>
  <sheets>
    <sheet name="Dashboard" sheetId="1" r:id="rId1"/>
    <sheet name="Sector_TBB" sheetId="2" r:id="rId2"/>
    <sheet name="Bank_Core_Data" sheetId="3" r:id="rId3"/>
    <sheet name="Bank_Core_KPIs" sheetId="4" r:id="rId4"/>
    <sheet name="Bank_Comparison_2025" sheetId="5" r:id="rId5"/>
    <sheet name="Supporting_Indicators" sheetId="6" r:id="rId6"/>
    <sheet name="Data_Quality_Flags" sheetId="7" r:id="rId7"/>
    <sheet name="Metric_Dictionary" sheetId="8" r:id="rId8"/>
    <sheet name="Methodology_Notes" sheetId="9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5" l="1"/>
  <c r="P6" i="5"/>
  <c r="I6" i="5"/>
  <c r="H6" i="5"/>
  <c r="C6" i="5"/>
  <c r="B6" i="5"/>
  <c r="Q5" i="5"/>
  <c r="P5" i="5"/>
  <c r="I5" i="5"/>
  <c r="H5" i="5"/>
  <c r="C5" i="5"/>
  <c r="B5" i="5"/>
  <c r="Q4" i="5"/>
  <c r="P4" i="5"/>
  <c r="I4" i="5"/>
  <c r="H4" i="5"/>
  <c r="C4" i="5"/>
  <c r="B4" i="5"/>
  <c r="L18" i="4"/>
  <c r="K18" i="4"/>
  <c r="J18" i="4"/>
  <c r="J6" i="5" s="1"/>
  <c r="F18" i="4"/>
  <c r="G6" i="5" s="1"/>
  <c r="E18" i="4"/>
  <c r="F6" i="5" s="1"/>
  <c r="D18" i="4"/>
  <c r="E6" i="5" s="1"/>
  <c r="C18" i="4"/>
  <c r="D6" i="5" s="1"/>
  <c r="B18" i="4"/>
  <c r="A18" i="4"/>
  <c r="L17" i="4"/>
  <c r="K17" i="4"/>
  <c r="J17" i="4"/>
  <c r="F17" i="4"/>
  <c r="E17" i="4"/>
  <c r="D17" i="4"/>
  <c r="C17" i="4"/>
  <c r="B17" i="4"/>
  <c r="A17" i="4"/>
  <c r="L16" i="4"/>
  <c r="K16" i="4"/>
  <c r="J16" i="4"/>
  <c r="F16" i="4"/>
  <c r="E16" i="4"/>
  <c r="D16" i="4"/>
  <c r="C16" i="4"/>
  <c r="B16" i="4"/>
  <c r="A16" i="4"/>
  <c r="L15" i="4"/>
  <c r="K15" i="4"/>
  <c r="J15" i="4"/>
  <c r="F15" i="4"/>
  <c r="E15" i="4"/>
  <c r="D15" i="4"/>
  <c r="C15" i="4"/>
  <c r="B15" i="4"/>
  <c r="A15" i="4"/>
  <c r="L14" i="4"/>
  <c r="K14" i="4"/>
  <c r="J14" i="4"/>
  <c r="F14" i="4"/>
  <c r="E14" i="4"/>
  <c r="D14" i="4"/>
  <c r="C14" i="4"/>
  <c r="B14" i="4"/>
  <c r="A14" i="4"/>
  <c r="L13" i="4"/>
  <c r="K13" i="4"/>
  <c r="J13" i="4"/>
  <c r="J5" i="5" s="1"/>
  <c r="F13" i="4"/>
  <c r="G5" i="5" s="1"/>
  <c r="E13" i="4"/>
  <c r="F5" i="5" s="1"/>
  <c r="D13" i="4"/>
  <c r="E5" i="5" s="1"/>
  <c r="C13" i="4"/>
  <c r="D5" i="5" s="1"/>
  <c r="B13" i="4"/>
  <c r="A13" i="4"/>
  <c r="L12" i="4"/>
  <c r="K12" i="4"/>
  <c r="J12" i="4"/>
  <c r="F12" i="4"/>
  <c r="E12" i="4"/>
  <c r="D12" i="4"/>
  <c r="C12" i="4"/>
  <c r="B12" i="4"/>
  <c r="A12" i="4"/>
  <c r="L11" i="4"/>
  <c r="K11" i="4"/>
  <c r="J11" i="4"/>
  <c r="F11" i="4"/>
  <c r="E11" i="4"/>
  <c r="D11" i="4"/>
  <c r="C11" i="4"/>
  <c r="B11" i="4"/>
  <c r="A11" i="4"/>
  <c r="L10" i="4"/>
  <c r="K10" i="4"/>
  <c r="J10" i="4"/>
  <c r="F10" i="4"/>
  <c r="E10" i="4"/>
  <c r="D10" i="4"/>
  <c r="C10" i="4"/>
  <c r="B10" i="4"/>
  <c r="A10" i="4"/>
  <c r="L9" i="4"/>
  <c r="K9" i="4"/>
  <c r="J9" i="4"/>
  <c r="F9" i="4"/>
  <c r="E9" i="4"/>
  <c r="D9" i="4"/>
  <c r="C9" i="4"/>
  <c r="B9" i="4"/>
  <c r="A9" i="4"/>
  <c r="L8" i="4"/>
  <c r="K8" i="4"/>
  <c r="J8" i="4"/>
  <c r="J4" i="5" s="1"/>
  <c r="F8" i="4"/>
  <c r="G4" i="5" s="1"/>
  <c r="E8" i="4"/>
  <c r="F4" i="5" s="1"/>
  <c r="D8" i="4"/>
  <c r="E4" i="5" s="1"/>
  <c r="C8" i="4"/>
  <c r="D4" i="5" s="1"/>
  <c r="B8" i="4"/>
  <c r="A8" i="4"/>
  <c r="L7" i="4"/>
  <c r="K7" i="4"/>
  <c r="J7" i="4"/>
  <c r="F7" i="4"/>
  <c r="E7" i="4"/>
  <c r="D7" i="4"/>
  <c r="C7" i="4"/>
  <c r="B7" i="4"/>
  <c r="A7" i="4"/>
  <c r="L6" i="4"/>
  <c r="K6" i="4"/>
  <c r="J6" i="4"/>
  <c r="F6" i="4"/>
  <c r="E6" i="4"/>
  <c r="D6" i="4"/>
  <c r="C6" i="4"/>
  <c r="B6" i="4"/>
  <c r="A6" i="4"/>
  <c r="L5" i="4"/>
  <c r="K5" i="4"/>
  <c r="J5" i="4"/>
  <c r="F5" i="4"/>
  <c r="E5" i="4"/>
  <c r="D5" i="4"/>
  <c r="C5" i="4"/>
  <c r="B5" i="4"/>
  <c r="A5" i="4"/>
  <c r="L4" i="4"/>
  <c r="K4" i="4"/>
  <c r="J4" i="4"/>
  <c r="F4" i="4"/>
  <c r="E4" i="4"/>
  <c r="D4" i="4"/>
  <c r="C4" i="4"/>
  <c r="B4" i="4"/>
  <c r="A4" i="4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I5" i="2"/>
  <c r="H5" i="2"/>
  <c r="G5" i="2"/>
  <c r="F5" i="2"/>
  <c r="H4" i="2"/>
  <c r="G4" i="2"/>
  <c r="F4" i="2"/>
  <c r="Q15" i="1"/>
  <c r="P15" i="1"/>
  <c r="J15" i="1"/>
  <c r="I15" i="1"/>
  <c r="H15" i="1"/>
  <c r="G15" i="1"/>
  <c r="F15" i="1"/>
  <c r="E15" i="1"/>
  <c r="D15" i="1"/>
  <c r="C15" i="1"/>
  <c r="B15" i="1"/>
  <c r="A15" i="1"/>
  <c r="Q14" i="1"/>
  <c r="P14" i="1"/>
  <c r="J14" i="1"/>
  <c r="I14" i="1"/>
  <c r="H14" i="1"/>
  <c r="G14" i="1"/>
  <c r="F14" i="1"/>
  <c r="E14" i="1"/>
  <c r="D14" i="1"/>
  <c r="C14" i="1"/>
  <c r="B14" i="1"/>
  <c r="A14" i="1"/>
  <c r="Q13" i="1"/>
  <c r="P13" i="1"/>
  <c r="J13" i="1"/>
  <c r="I13" i="1"/>
  <c r="H13" i="1"/>
  <c r="G13" i="1"/>
  <c r="F13" i="1"/>
  <c r="E13" i="1"/>
  <c r="D13" i="1"/>
  <c r="C13" i="1"/>
  <c r="B13" i="1"/>
  <c r="A13" i="1"/>
  <c r="H5" i="4" l="1"/>
  <c r="G5" i="4"/>
  <c r="H6" i="4"/>
  <c r="G6" i="4"/>
  <c r="H7" i="4"/>
  <c r="G7" i="4"/>
  <c r="H8" i="4"/>
  <c r="G8" i="4"/>
  <c r="K6" i="5"/>
  <c r="K5" i="5"/>
  <c r="K4" i="5"/>
  <c r="L6" i="5"/>
  <c r="L15" i="1" s="1"/>
  <c r="L5" i="5"/>
  <c r="L14" i="1" s="1"/>
  <c r="L4" i="5"/>
  <c r="L13" i="1" s="1"/>
  <c r="M6" i="5"/>
  <c r="M15" i="1" s="1"/>
  <c r="M5" i="5"/>
  <c r="M14" i="1" s="1"/>
  <c r="M4" i="5"/>
  <c r="M13" i="1" s="1"/>
  <c r="H10" i="4"/>
  <c r="G10" i="4"/>
  <c r="H11" i="4"/>
  <c r="G11" i="4"/>
  <c r="H12" i="4"/>
  <c r="G12" i="4"/>
  <c r="H13" i="4"/>
  <c r="G13" i="4"/>
  <c r="H15" i="4"/>
  <c r="G15" i="4"/>
  <c r="H16" i="4"/>
  <c r="G16" i="4"/>
  <c r="H17" i="4"/>
  <c r="G17" i="4"/>
  <c r="H18" i="4"/>
  <c r="G18" i="4"/>
  <c r="N6" i="5"/>
  <c r="N15" i="1" s="1"/>
  <c r="N5" i="5"/>
  <c r="N14" i="1" s="1"/>
  <c r="N4" i="5"/>
  <c r="N13" i="1" s="1"/>
  <c r="O4" i="5" l="1"/>
  <c r="O13" i="1" s="1"/>
  <c r="K13" i="1"/>
  <c r="O5" i="5"/>
  <c r="O14" i="1" s="1"/>
  <c r="K14" i="1"/>
  <c r="O6" i="5"/>
  <c r="O15" i="1" s="1"/>
  <c r="K15" i="1"/>
</calcChain>
</file>

<file path=xl/sharedStrings.xml><?xml version="1.0" encoding="utf-8"?>
<sst xmlns="http://schemas.openxmlformats.org/spreadsheetml/2006/main" count="871" uniqueCount="279">
  <si>
    <t>Digital Banking Customer Adoption &amp; Channel Migration Analytics — Revised Master Dataset</t>
  </si>
  <si>
    <t>Core Revision</t>
  </si>
  <si>
    <t>Mobile/app users and POS removed from core benchmark and Digital Adoption Index.</t>
  </si>
  <si>
    <t>Peer Group</t>
  </si>
  <si>
    <t>Garanti BBVA, Akbank, İşbank</t>
  </si>
  <si>
    <t>Period</t>
  </si>
  <si>
    <t>2021–2025</t>
  </si>
  <si>
    <t>Sector Data</t>
  </si>
  <si>
    <t>TBB sector data retained as separate sector trend layer.</t>
  </si>
  <si>
    <t>Core Bank Metrics</t>
  </si>
  <si>
    <t>Customer base, digital customers/users, branches, employees, ATMs.</t>
  </si>
  <si>
    <t>Index Type</t>
  </si>
  <si>
    <t>Directional, project-specific, not official ranking.</t>
  </si>
  <si>
    <t>Data Risk Control</t>
  </si>
  <si>
    <t>Definitions, proxies and approximations documented in quality flags.</t>
  </si>
  <si>
    <t>Prepared</t>
  </si>
  <si>
    <t>2026-05-05</t>
  </si>
  <si>
    <t>Bank</t>
  </si>
  <si>
    <t>Customer Base (M)</t>
  </si>
  <si>
    <t>Digital Customers (M)</t>
  </si>
  <si>
    <t>Reported Digital Penetration</t>
  </si>
  <si>
    <t>Digital Customers / Branch</t>
  </si>
  <si>
    <t>Digital Customers / Employee</t>
  </si>
  <si>
    <t>Digital Customers / ATM</t>
  </si>
  <si>
    <t>Digital Customer Growth 2021–2025</t>
  </si>
  <si>
    <t>Branch Change 2021–2025</t>
  </si>
  <si>
    <t>Data Quality Warning</t>
  </si>
  <si>
    <t>Penetration Norm</t>
  </si>
  <si>
    <t>Per Branch Norm</t>
  </si>
  <si>
    <t>Per Employee Norm</t>
  </si>
  <si>
    <t>Growth Norm</t>
  </si>
  <si>
    <t>Directional Digital Adoption Index</t>
  </si>
  <si>
    <t>Rank</t>
  </si>
  <si>
    <t>Interpretation</t>
  </si>
  <si>
    <t>Sector-Level Digital Banking Adoption — TBB, 2021–2025</t>
  </si>
  <si>
    <t>Year</t>
  </si>
  <si>
    <t>Only Internet Active Customers (M)</t>
  </si>
  <si>
    <t>Only Mobile Active Customers (M)</t>
  </si>
  <si>
    <t>Both Internet+Mobile Active Customers (M)</t>
  </si>
  <si>
    <t>Total Active Digital Customers (M)</t>
  </si>
  <si>
    <t>Mobile-only Share</t>
  </si>
  <si>
    <t>Internet-only Share</t>
  </si>
  <si>
    <t>Both Channel Share</t>
  </si>
  <si>
    <t>YoY Total Digital Growth</t>
  </si>
  <si>
    <t>YoY Mobile-only Growth</t>
  </si>
  <si>
    <t>Data Source Note</t>
  </si>
  <si>
    <t>Methodology Note</t>
  </si>
  <si>
    <t>TBB digital/internet/mobile banking statistics file</t>
  </si>
  <si>
    <t>Sector-level, not deduplicated across banks</t>
  </si>
  <si>
    <t>Core Bank Dataset — Mobile/App Users and POS Excluded from Core Benchmark</t>
  </si>
  <si>
    <t>Customer_Base_Reported_M</t>
  </si>
  <si>
    <t>Customer_Base_Definition</t>
  </si>
  <si>
    <t>Digital_Customers_Reported_M</t>
  </si>
  <si>
    <t>Digital_Definition</t>
  </si>
  <si>
    <t>Branches</t>
  </si>
  <si>
    <t>Employees</t>
  </si>
  <si>
    <t>ATMs</t>
  </si>
  <si>
    <t>Customer_Base_Quality</t>
  </si>
  <si>
    <t>Digital_Customer_Quality</t>
  </si>
  <si>
    <t>Branch_Quality</t>
  </si>
  <si>
    <t>Employee_Quality</t>
  </si>
  <si>
    <t>ATM_Quality</t>
  </si>
  <si>
    <t>Source_Type</t>
  </si>
  <si>
    <t>Notes</t>
  </si>
  <si>
    <t>Garanti BBVA</t>
  </si>
  <si>
    <t>Total customers</t>
  </si>
  <si>
    <t>Digital banking customers</t>
  </si>
  <si>
    <t>Exact</t>
  </si>
  <si>
    <t>Exact/Reported</t>
  </si>
  <si>
    <t>Garanti 2021 Annual report / Garanti BBVA in Numbers</t>
  </si>
  <si>
    <t>Mobile users and POS removed from core benchmark; retained in supporting indicators.</t>
  </si>
  <si>
    <t>Direct annual series.</t>
  </si>
  <si>
    <t>Akbank</t>
  </si>
  <si>
    <t>Active/customers reported as over 10M</t>
  </si>
  <si>
    <t>Digital banking users</t>
  </si>
  <si>
    <t>Approximate</t>
  </si>
  <si>
    <t>Reported</t>
  </si>
  <si>
    <t>Akbank 2021 Annual Report</t>
  </si>
  <si>
    <t>Customer base, employees and ATMs are approximate disclosures; mobile customer count unavailable.</t>
  </si>
  <si>
    <t>Active customers reported as over 10.8M</t>
  </si>
  <si>
    <t>Akbank 2022 Annual Report</t>
  </si>
  <si>
    <t>Net active customers reported as more than 13.1M</t>
  </si>
  <si>
    <t>Akbank 2023 Annual Report</t>
  </si>
  <si>
    <t>Employee count rounded as 12K; mobile customer count unavailable.</t>
  </si>
  <si>
    <t>Total/customers reported as 14.5M</t>
  </si>
  <si>
    <t>Akbank 2024 Annual Report</t>
  </si>
  <si>
    <t>Operational values available from annual report.</t>
  </si>
  <si>
    <t>Active customers</t>
  </si>
  <si>
    <t>Active digital banking users / digital users</t>
  </si>
  <si>
    <t>Akbank 2025 Annual Report</t>
  </si>
  <si>
    <t>2025 includes supporting digital indicators; mobile customer count unavailable.</t>
  </si>
  <si>
    <t>İşbank</t>
  </si>
  <si>
    <t>İşbank 2021 Annual Report</t>
  </si>
  <si>
    <t>Customers served</t>
  </si>
  <si>
    <t>İşbank 2022 Annual Report</t>
  </si>
  <si>
    <t>Domestic branches used for branch count.</t>
  </si>
  <si>
    <t>Approx. digital banking customers</t>
  </si>
  <si>
    <t>İşbank 2023 Annual Report</t>
  </si>
  <si>
    <t>Digital customers disclosed as approx. 15M.</t>
  </si>
  <si>
    <t>Approx. customers</t>
  </si>
  <si>
    <t>İşbank 2024 Annual Report</t>
  </si>
  <si>
    <t>Customers disclosed as approx. 25M.</t>
  </si>
  <si>
    <t>Proxy: 22.7M retail + 2.8M commercial customers</t>
  </si>
  <si>
    <t>Customers actively using digital banking channels</t>
  </si>
  <si>
    <t>Proxy</t>
  </si>
  <si>
    <t>İşbank 4Q25 investor presentation + 2026 Offering Circular</t>
  </si>
  <si>
    <t>2025 annual report unavailable; total customers is proxy.</t>
  </si>
  <si>
    <t>Core Bank KPIs — Formula-Driven, Comparable Directional Metrics</t>
  </si>
  <si>
    <t>YoY Digital Customer Growth</t>
  </si>
  <si>
    <t>YoY Branch Change</t>
  </si>
  <si>
    <t>Core Benchmark Eligible</t>
  </si>
  <si>
    <t>Customer Definition</t>
  </si>
  <si>
    <t>Digital Definition</t>
  </si>
  <si>
    <t>Yes</t>
  </si>
  <si>
    <t>2025 Core Bank Comparison and Directional Digital Adoption Index</t>
  </si>
  <si>
    <t>Supporting Indicators — Excluded from Core Benchmark / Index</t>
  </si>
  <si>
    <t>Indicator</t>
  </si>
  <si>
    <t>Value</t>
  </si>
  <si>
    <t>Unit</t>
  </si>
  <si>
    <t>Use in Project</t>
  </si>
  <si>
    <t>Comparability</t>
  </si>
  <si>
    <t>Definition / Note</t>
  </si>
  <si>
    <t>Core Benchmark Use</t>
  </si>
  <si>
    <t>mobile_banking_customers</t>
  </si>
  <si>
    <t>million customers</t>
  </si>
  <si>
    <t>Supporting only — excluded from core benchmark/index</t>
  </si>
  <si>
    <t>Medium-High</t>
  </si>
  <si>
    <t>Mobile banking customer disclosure; not available for all peer banks.</t>
  </si>
  <si>
    <t>Excluded</t>
  </si>
  <si>
    <t>pos_terminals</t>
  </si>
  <si>
    <t>count</t>
  </si>
  <si>
    <t>Medium</t>
  </si>
  <si>
    <t>POS definitions may differ by bank.</t>
  </si>
  <si>
    <t>Includes virtual POS where disclosed; POS definitions may differ by bank.</t>
  </si>
  <si>
    <t>atm_transactions</t>
  </si>
  <si>
    <t>Supporting channel behavior</t>
  </si>
  <si>
    <t>Used for Akbank channel migration context only.</t>
  </si>
  <si>
    <t>internet_banking_transactions</t>
  </si>
  <si>
    <t>mobile_banking_transactions</t>
  </si>
  <si>
    <t>mobile_transaction_share</t>
  </si>
  <si>
    <t>ratio</t>
  </si>
  <si>
    <t>Supporting channel behavior — excluded from core index</t>
  </si>
  <si>
    <t>Calculated from ATM, internet and mobile transaction counts.</t>
  </si>
  <si>
    <t>personal_loans_mobile_share</t>
  </si>
  <si>
    <t>percent</t>
  </si>
  <si>
    <t>Supporting digital sales indicator</t>
  </si>
  <si>
    <t>Low</t>
  </si>
  <si>
    <t>Not consistently available across banks.</t>
  </si>
  <si>
    <t>credit_cards_sold_digitally</t>
  </si>
  <si>
    <t>transactions_moved_to_digital_channels</t>
  </si>
  <si>
    <t>Supporting digital channel indicator</t>
  </si>
  <si>
    <t>Reported as more than 95%; not used in core index.</t>
  </si>
  <si>
    <t>avg_monthly_mobile_app_logins</t>
  </si>
  <si>
    <t>times/month</t>
  </si>
  <si>
    <t>Supporting engagement indicator</t>
  </si>
  <si>
    <t>Approximate monthly mobile app login frequency.</t>
  </si>
  <si>
    <t>digital_time_deposit_opening_share</t>
  </si>
  <si>
    <t>Approx. 80% time deposit openings digitally.</t>
  </si>
  <si>
    <t>iscep_users</t>
  </si>
  <si>
    <t>million users</t>
  </si>
  <si>
    <t>İşCep users used as mobile banking proxy; excluded from core index.</t>
  </si>
  <si>
    <t>pos_devices</t>
  </si>
  <si>
    <t>POS devices; 2021 corrected to 570,212 from annual report. 2025 uses over 602K proxy.</t>
  </si>
  <si>
    <t>non_branch_transaction_ratio</t>
  </si>
  <si>
    <t>Supporting channel indicator — excluded from core index</t>
  </si>
  <si>
    <t>Non-branch channel share; not included in core index to avoid mixed definitions.</t>
  </si>
  <si>
    <t>iscep_transaction_share</t>
  </si>
  <si>
    <t>Supporting mobile-first indicator</t>
  </si>
  <si>
    <t>Share of İşCep in transactions conducted through all channels.</t>
  </si>
  <si>
    <t>digital_share_non_cash_transactions</t>
  </si>
  <si>
    <t>Share of digital channels in non-cash financial transactions.</t>
  </si>
  <si>
    <t>digital_share_sales</t>
  </si>
  <si>
    <t>Share of digital channels in sales.</t>
  </si>
  <si>
    <t>nays_users</t>
  </si>
  <si>
    <t>Supporting ecosystem indicator</t>
  </si>
  <si>
    <t>Nays users.</t>
  </si>
  <si>
    <t>bank_owned_pos_terminals</t>
  </si>
  <si>
    <t>Supporting only — alternative POS definition</t>
  </si>
  <si>
    <t>Bank-owned POS terminals; not main POS series.</t>
  </si>
  <si>
    <t>Data Quality Flags and Risk Controls</t>
  </si>
  <si>
    <t>Area</t>
  </si>
  <si>
    <t>Decision / Flag</t>
  </si>
  <si>
    <t>Reason</t>
  </si>
  <si>
    <t>Mobile/App Users</t>
  </si>
  <si>
    <t>Excluded from core benchmark and Digital Adoption Index</t>
  </si>
  <si>
    <t>Akbank does not disclose a comparable mobile customer/user series; Garanti mobile customers and İşbank İşCep users remain supporting indicators.</t>
  </si>
  <si>
    <t>POS</t>
  </si>
  <si>
    <t>POS definitions differ materially across banks: terminals, devices, virtual POS, bank-owned POS, software-enabled POS.</t>
  </si>
  <si>
    <t>Customer Base</t>
  </si>
  <si>
    <t>Use reported/proxy customer base carefully</t>
  </si>
  <si>
    <t>Garanti reports total customers; Akbank reports active/net active customers; İşbank 2025 uses retail+commercial proxy.</t>
  </si>
  <si>
    <t>Digital Customers / Users</t>
  </si>
  <si>
    <t>Medium-High directional comparability</t>
  </si>
  <si>
    <t>Definitions are similar but not guaranteed to be standardized across banks.</t>
  </si>
  <si>
    <t>Akbank 2021–2023</t>
  </si>
  <si>
    <t>Approximate values</t>
  </si>
  <si>
    <t>Some values are disclosed as over/approximately/rounded; derived KPIs are directional.</t>
  </si>
  <si>
    <t>İşbank 2025</t>
  </si>
  <si>
    <t>Annual report not available</t>
  </si>
  <si>
    <t>2025 values rely on Q4 investor presentation and 2026 Offering Circular; total customer base is a proxy.</t>
  </si>
  <si>
    <t>TBB Sector Data</t>
  </si>
  <si>
    <t>Separate from bank-level benchmark</t>
  </si>
  <si>
    <t>TBB sector figures are not deduplicated across banks and should not be mixed directly with bank-level peer comparisons.</t>
  </si>
  <si>
    <t>Digital Adoption Index</t>
  </si>
  <si>
    <t>Directional project-specific index</t>
  </si>
  <si>
    <t>Not an official ranking; built only from core comparable indicators.</t>
  </si>
  <si>
    <t>Winner Language</t>
  </si>
  <si>
    <t>Avoid absolute claims</t>
  </si>
  <si>
    <t>Use wording such as 'shows stronger reported digital scale' rather than 'best digital bank'.</t>
  </si>
  <si>
    <t>Metric Dictionary</t>
  </si>
  <si>
    <t>Metric</t>
  </si>
  <si>
    <t>Definition</t>
  </si>
  <si>
    <t>Category</t>
  </si>
  <si>
    <t>customer_base_reported_m</t>
  </si>
  <si>
    <t>Reported customer base in millions</t>
  </si>
  <si>
    <t>Core</t>
  </si>
  <si>
    <t>Uses each bank’s reported/proxy customer base; definitions differ.</t>
  </si>
  <si>
    <t>digital_customers_reported_m</t>
  </si>
  <si>
    <t>Reported digital customers/users in millions</t>
  </si>
  <si>
    <t>Directional cross-bank metric; taxonomy may differ.</t>
  </si>
  <si>
    <t>branches</t>
  </si>
  <si>
    <t>Domestic branch count</t>
  </si>
  <si>
    <t>Used for branch-to-digital efficiency.</t>
  </si>
  <si>
    <t>employees</t>
  </si>
  <si>
    <t>Employee count</t>
  </si>
  <si>
    <t>Used for digital customers per employee.</t>
  </si>
  <si>
    <t>atms</t>
  </si>
  <si>
    <t>ATM count</t>
  </si>
  <si>
    <t>Operational network indicator.</t>
  </si>
  <si>
    <t>reported_digital_penetration</t>
  </si>
  <si>
    <t>digital_customers_reported_m / customer_base_reported_m</t>
  </si>
  <si>
    <t>Core KPI</t>
  </si>
  <si>
    <t>Approximate where customer base is approximate/proxy.</t>
  </si>
  <si>
    <t>digital_customers_per_branch</t>
  </si>
  <si>
    <t>digital_customers_reported_m * 1,000,000 / branches</t>
  </si>
  <si>
    <t>Primary branch-to-digital efficiency metric.</t>
  </si>
  <si>
    <t>digital_customers_per_employee</t>
  </si>
  <si>
    <t>digital_customers_reported_m * 1,000,000 / employees</t>
  </si>
  <si>
    <t>Primary workforce scalability proxy.</t>
  </si>
  <si>
    <t>digital_customers_per_atm</t>
  </si>
  <si>
    <t>digital_customers_reported_m * 1,000,000 / atms</t>
  </si>
  <si>
    <t>Secondary channel efficiency metric.</t>
  </si>
  <si>
    <t>digital_customer_yoy_growth</t>
  </si>
  <si>
    <t>YoY change in reported digital customers/users</t>
  </si>
  <si>
    <t>Calculated within each bank.</t>
  </si>
  <si>
    <t>digital_customer_growth_2021_2025</t>
  </si>
  <si>
    <t>2025 digital customers / 2021 digital customers - 1</t>
  </si>
  <si>
    <t>Core index input</t>
  </si>
  <si>
    <t>Directional growth input.</t>
  </si>
  <si>
    <t>mobile/app users</t>
  </si>
  <si>
    <t>Mobile banking customers / İşCep users / mobile app users</t>
  </si>
  <si>
    <t>Supporting</t>
  </si>
  <si>
    <t>Excluded from core benchmark due to missing Akbank comparable series.</t>
  </si>
  <si>
    <t>POS terminals/devices</t>
  </si>
  <si>
    <t>Excluded from core benchmark due to inconsistent definitions.</t>
  </si>
  <si>
    <t>Share of transactions through non-branch channels</t>
  </si>
  <si>
    <t>Useful insight, not core score input.</t>
  </si>
  <si>
    <t>Methodology Notes</t>
  </si>
  <si>
    <t>Note</t>
  </si>
  <si>
    <t>Project Scope</t>
  </si>
  <si>
    <t>Digital Banking Customer Adoption &amp; Channel Migration Analytics: Turkey, 2021–2025.</t>
  </si>
  <si>
    <t>Core Benchmark</t>
  </si>
  <si>
    <t>Uses only cross-bank comparable directional metrics: reported customer base, reported digital customers/users, branches, employees, ATMs and derived ratios.</t>
  </si>
  <si>
    <t>Excluded from Core</t>
  </si>
  <si>
    <t>Mobile/app user counts and POS values are excluded from the core benchmark and Digital Adoption Index.</t>
  </si>
  <si>
    <t>Mobile/App Rationale</t>
  </si>
  <si>
    <t>Garanti and İşbank disclose mobile/app user data, but Akbank does not disclose a comparable mobile customer series. Akbank is assessed through digital users and transaction-channel indicators.</t>
  </si>
  <si>
    <t>POS Rationale</t>
  </si>
  <si>
    <t>POS values have inconsistent definitions across banks; they remain supporting network indicators only.</t>
  </si>
  <si>
    <t>Customer Base Caveat</t>
  </si>
  <si>
    <t>Garanti reports total customers, Akbank reports active/net active customers in some years, and İşbank 2025 uses a retail + commercial proxy.</t>
  </si>
  <si>
    <t>Digital Customer Caveat</t>
  </si>
  <si>
    <t>Digital customer/user definitions are based on bank disclosures and are directionally comparable, not regulatory-grade standardized.</t>
  </si>
  <si>
    <t>TBB sector data is not deduplicated across banks; interpret as sector-level active digital banking customer records.</t>
  </si>
  <si>
    <t>İşbank 2025 Caveat</t>
  </si>
  <si>
    <t>2025 values use Q4 investor presentation and 2026 Offering Circular because the 2025 annual report was not available.</t>
  </si>
  <si>
    <t>The index is project-specific and directional. It is not an official industry ranking.</t>
  </si>
  <si>
    <t>Index Formula</t>
  </si>
  <si>
    <t>0.30 × Digital Penetration Norm + 0.30 × Digital Customers/Branch Norm + 0.20 × Digital Customers/Employee Norm + 0.20 × 2021–2025 Digital Customer Growth Norm.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</si>
</sst>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sz val="11"/>
      <color rgb="FF7A52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/>
    <xf numFmtId="165" fontId="0" fillId="0" borderId="1" xfId="0" applyNumberFormat="1" applyFont="1" applyFill="1" applyBorder="1"/>
    <xf numFmtId="3" fontId="0" fillId="0" borderId="1" xfId="0" applyNumberFormat="1" applyFont="1" applyFill="1" applyBorder="1"/>
    <xf numFmtId="166" fontId="0" fillId="0" borderId="1" xfId="0" applyNumberFormat="1" applyFont="1" applyFill="1" applyBorder="1"/>
    <xf numFmtId="1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165" fontId="0" fillId="0" borderId="1" xfId="0" applyNumberFormat="1" applyFont="1" applyFill="1" applyBorder="1" applyAlignment="1">
      <alignment wrapText="1"/>
    </xf>
    <xf numFmtId="3" fontId="0" fillId="0" borderId="1" xfId="0" applyNumberFormat="1" applyFont="1" applyFill="1" applyBorder="1" applyAlignment="1">
      <alignment wrapText="1"/>
    </xf>
    <xf numFmtId="166" fontId="0" fillId="0" borderId="1" xfId="0" applyNumberFormat="1" applyFont="1" applyFill="1" applyBorder="1" applyAlignment="1">
      <alignment wrapText="1"/>
    </xf>
    <xf numFmtId="1" fontId="0" fillId="0" borderId="1" xfId="0" applyNumberFormat="1" applyFont="1" applyFill="1" applyBorder="1" applyAlignment="1">
      <alignment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3" fillId="4" borderId="1" xfId="0" applyNumberFormat="1" applyFont="1" applyFill="1" applyBorder="1" applyAlignment="1">
      <alignment horizontal="center" vertical="top" wrapText="1"/>
    </xf>
    <xf numFmtId="0" fontId="3" fillId="4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BTable" displayName="TBBTable" ref="A3:L8">
  <tableColumns count="12">
    <tableColumn id="1" xr3:uid="{00000000-0010-0000-0000-000001000000}" name="Year"/>
    <tableColumn id="2" xr3:uid="{00000000-0010-0000-0000-000002000000}" name="Only Internet Active Customers (M)"/>
    <tableColumn id="3" xr3:uid="{00000000-0010-0000-0000-000003000000}" name="Only Mobile Active Customers (M)"/>
    <tableColumn id="4" xr3:uid="{00000000-0010-0000-0000-000004000000}" name="Both Internet+Mobile Active Customers (M)"/>
    <tableColumn id="5" xr3:uid="{00000000-0010-0000-0000-000005000000}" name="Total Active Digital Customers (M)"/>
    <tableColumn id="6" xr3:uid="{00000000-0010-0000-0000-000006000000}" name="Mobile-only Share"/>
    <tableColumn id="7" xr3:uid="{00000000-0010-0000-0000-000007000000}" name="Internet-only Share"/>
    <tableColumn id="8" xr3:uid="{00000000-0010-0000-0000-000008000000}" name="Both Channel Share"/>
    <tableColumn id="9" xr3:uid="{00000000-0010-0000-0000-000009000000}" name="YoY Total Digital Growth"/>
    <tableColumn id="10" xr3:uid="{00000000-0010-0000-0000-00000A000000}" name="YoY Mobile-only Growth"/>
    <tableColumn id="11" xr3:uid="{00000000-0010-0000-0000-00000B000000}" name="Data Source Note"/>
    <tableColumn id="12" xr3:uid="{00000000-0010-0000-0000-00000C000000}" name="Methodology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reBankDataTable" displayName="CoreBankDataTable" ref="A3:P18">
  <tableColumns count="16">
    <tableColumn id="1" xr3:uid="{00000000-0010-0000-0100-000001000000}" name="Bank"/>
    <tableColumn id="2" xr3:uid="{00000000-0010-0000-0100-000002000000}" name="Year"/>
    <tableColumn id="3" xr3:uid="{00000000-0010-0000-0100-000003000000}" name="Customer_Base_Reported_M"/>
    <tableColumn id="4" xr3:uid="{00000000-0010-0000-0100-000004000000}" name="Customer_Base_Definition"/>
    <tableColumn id="5" xr3:uid="{00000000-0010-0000-0100-000005000000}" name="Digital_Customers_Reported_M"/>
    <tableColumn id="6" xr3:uid="{00000000-0010-0000-0100-000006000000}" name="Digital_Definition"/>
    <tableColumn id="7" xr3:uid="{00000000-0010-0000-0100-000007000000}" name="Branches"/>
    <tableColumn id="8" xr3:uid="{00000000-0010-0000-0100-000008000000}" name="Employees"/>
    <tableColumn id="9" xr3:uid="{00000000-0010-0000-0100-000009000000}" name="ATMs"/>
    <tableColumn id="10" xr3:uid="{00000000-0010-0000-0100-00000A000000}" name="Customer_Base_Quality"/>
    <tableColumn id="11" xr3:uid="{00000000-0010-0000-0100-00000B000000}" name="Digital_Customer_Quality"/>
    <tableColumn id="12" xr3:uid="{00000000-0010-0000-0100-00000C000000}" name="Branch_Quality"/>
    <tableColumn id="13" xr3:uid="{00000000-0010-0000-0100-00000D000000}" name="Employee_Quality"/>
    <tableColumn id="14" xr3:uid="{00000000-0010-0000-0100-00000E000000}" name="ATM_Quality"/>
    <tableColumn id="15" xr3:uid="{00000000-0010-0000-0100-00000F000000}" name="Source_Type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reBankKPIsTable" displayName="CoreBankKPIsTable" ref="A3:L18">
  <tableColumns count="12">
    <tableColumn id="1" xr3:uid="{00000000-0010-0000-0200-000001000000}" name="Bank"/>
    <tableColumn id="2" xr3:uid="{00000000-0010-0000-0200-000002000000}" name="Year"/>
    <tableColumn id="3" xr3:uid="{00000000-0010-0000-0200-000003000000}" name="Reported Digital Penetration"/>
    <tableColumn id="4" xr3:uid="{00000000-0010-0000-0200-000004000000}" name="Digital Customers / Branch"/>
    <tableColumn id="5" xr3:uid="{00000000-0010-0000-0200-000005000000}" name="Digital Customers / Employee"/>
    <tableColumn id="6" xr3:uid="{00000000-0010-0000-0200-000006000000}" name="Digital Customers / ATM"/>
    <tableColumn id="7" xr3:uid="{00000000-0010-0000-0200-000007000000}" name="YoY Digital Customer Growth"/>
    <tableColumn id="8" xr3:uid="{00000000-0010-0000-0200-000008000000}" name="YoY Branch Change"/>
    <tableColumn id="9" xr3:uid="{00000000-0010-0000-0200-000009000000}" name="Core Benchmark Eligible"/>
    <tableColumn id="10" xr3:uid="{00000000-0010-0000-0200-00000A000000}" name="Data Quality Warning"/>
    <tableColumn id="11" xr3:uid="{00000000-0010-0000-0200-00000B000000}" name="Customer Definition"/>
    <tableColumn id="12" xr3:uid="{00000000-0010-0000-0200-00000C000000}" name="Digital 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parison2025Table" displayName="Comparison2025Table" ref="A3:Q6">
  <tableColumns count="17">
    <tableColumn id="1" xr3:uid="{00000000-0010-0000-0300-000001000000}" name="Bank"/>
    <tableColumn id="2" xr3:uid="{00000000-0010-0000-0300-000002000000}" name="Customer Base (M)"/>
    <tableColumn id="3" xr3:uid="{00000000-0010-0000-0300-000003000000}" name="Digital Customers (M)"/>
    <tableColumn id="4" xr3:uid="{00000000-0010-0000-0300-000004000000}" name="Reported Digital Penetration"/>
    <tableColumn id="5" xr3:uid="{00000000-0010-0000-0300-000005000000}" name="Digital Customers / Branch"/>
    <tableColumn id="6" xr3:uid="{00000000-0010-0000-0300-000006000000}" name="Digital Customers / Employee"/>
    <tableColumn id="7" xr3:uid="{00000000-0010-0000-0300-000007000000}" name="Digital Customers / ATM"/>
    <tableColumn id="8" xr3:uid="{00000000-0010-0000-0300-000008000000}" name="Digital Customer Growth 2021–2025"/>
    <tableColumn id="9" xr3:uid="{00000000-0010-0000-0300-000009000000}" name="Branch Change 2021–2025"/>
    <tableColumn id="10" xr3:uid="{00000000-0010-0000-0300-00000A000000}" name="Data Quality Warning"/>
    <tableColumn id="11" xr3:uid="{00000000-0010-0000-0300-00000B000000}" name="Penetration Norm"/>
    <tableColumn id="12" xr3:uid="{00000000-0010-0000-0300-00000C000000}" name="Per Branch Norm"/>
    <tableColumn id="13" xr3:uid="{00000000-0010-0000-0300-00000D000000}" name="Per Employee Norm"/>
    <tableColumn id="14" xr3:uid="{00000000-0010-0000-0300-00000E000000}" name="Growth Norm"/>
    <tableColumn id="15" xr3:uid="{00000000-0010-0000-0300-00000F000000}" name="Directional Digital Adoption Index"/>
    <tableColumn id="16" xr3:uid="{00000000-0010-0000-0300-000010000000}" name="Rank"/>
    <tableColumn id="17" xr3:uid="{00000000-0010-0000-0300-000011000000}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pportingIndicatorsTable" displayName="SupportingIndicatorsTable" ref="A3:I70">
  <tableColumns count="9">
    <tableColumn id="1" xr3:uid="{00000000-0010-0000-0400-000001000000}" name="Bank"/>
    <tableColumn id="2" xr3:uid="{00000000-0010-0000-0400-000002000000}" name="Year"/>
    <tableColumn id="3" xr3:uid="{00000000-0010-0000-0400-000003000000}" name="Indicator"/>
    <tableColumn id="4" xr3:uid="{00000000-0010-0000-0400-000004000000}" name="Value"/>
    <tableColumn id="5" xr3:uid="{00000000-0010-0000-0400-000005000000}" name="Unit"/>
    <tableColumn id="6" xr3:uid="{00000000-0010-0000-0400-000006000000}" name="Use in Project"/>
    <tableColumn id="7" xr3:uid="{00000000-0010-0000-0400-000007000000}" name="Comparability"/>
    <tableColumn id="8" xr3:uid="{00000000-0010-0000-0400-000008000000}" name="Definition / Note"/>
    <tableColumn id="9" xr3:uid="{00000000-0010-0000-0400-000009000000}" name="Core Benchmark U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QualityFlagsTable" displayName="DataQualityFlagsTable" ref="A3:C12">
  <tableColumns count="3">
    <tableColumn id="1" xr3:uid="{00000000-0010-0000-0500-000001000000}" name="Area"/>
    <tableColumn id="2" xr3:uid="{00000000-0010-0000-0500-000002000000}" name="Decision / Flag"/>
    <tableColumn id="3" xr3:uid="{00000000-0010-0000-0500-000003000000}" name="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tricDictionaryTable" displayName="MetricDictionaryTable" ref="A3:D17">
  <tableColumns count="4">
    <tableColumn id="1" xr3:uid="{00000000-0010-0000-0600-000001000000}" name="Metric"/>
    <tableColumn id="2" xr3:uid="{00000000-0010-0000-0600-000002000000}" name="Definition"/>
    <tableColumn id="3" xr3:uid="{00000000-0010-0000-0600-000003000000}" name="Category"/>
    <tableColumn id="4" xr3:uid="{00000000-0010-0000-0600-000004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ethodologyNotesTable" displayName="MethodologyNotesTable" ref="A3:B15">
  <tableColumns count="2">
    <tableColumn id="1" xr3:uid="{00000000-0010-0000-0700-000001000000}" name="Area"/>
    <tableColumn id="2" xr3:uid="{00000000-0010-0000-0700-000002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opLeftCell="A9" zoomScaleNormal="100" zoomScaleSheetLayoutView="100" workbookViewId="0">
      <selection activeCell="P12" sqref="P12"/>
    </sheetView>
  </sheetViews>
  <sheetFormatPr defaultRowHeight="15"/>
  <cols>
    <col min="1" max="1" width="20" customWidth="1"/>
    <col min="2" max="2" width="48" customWidth="1"/>
    <col min="3" max="3" width="17.25" customWidth="1"/>
    <col min="4" max="4" width="22.75" customWidth="1"/>
    <col min="5" max="5" width="21.125" customWidth="1"/>
    <col min="6" max="6" width="23.5" customWidth="1"/>
    <col min="7" max="7" width="19.25" customWidth="1"/>
    <col min="8" max="8" width="29.25" customWidth="1"/>
    <col min="9" max="9" width="21.375" customWidth="1"/>
    <col min="10" max="10" width="28" customWidth="1"/>
    <col min="11" max="11" width="14.375" customWidth="1"/>
    <col min="12" max="12" width="13.625" customWidth="1"/>
    <col min="13" max="13" width="15.875" customWidth="1"/>
    <col min="14" max="14" width="11" customWidth="1"/>
    <col min="15" max="15" width="26.875" customWidth="1"/>
    <col min="16" max="16" width="9.875" customWidth="1"/>
    <col min="17" max="17" width="36" customWidth="1"/>
  </cols>
  <sheetData>
    <row r="1" spans="1:26" ht="24" customHeight="1">
      <c r="A1" s="17" t="s">
        <v>0</v>
      </c>
      <c r="B1" s="17"/>
      <c r="C1" s="17"/>
      <c r="D1" s="17"/>
      <c r="E1" s="17"/>
      <c r="F1" s="17"/>
      <c r="G1" s="17"/>
      <c r="H1" s="17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ht="27.95" customHeight="1">
      <c r="A3" s="1" t="s">
        <v>1</v>
      </c>
      <c r="B3" s="15" t="s">
        <v>2</v>
      </c>
      <c r="C3" s="1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95" customHeight="1">
      <c r="A4" s="1" t="s">
        <v>3</v>
      </c>
      <c r="B4" s="16" t="s">
        <v>4</v>
      </c>
      <c r="D4" s="13"/>
      <c r="E4" s="13"/>
      <c r="F4" s="13"/>
      <c r="G4" s="13"/>
      <c r="H4" s="13"/>
    </row>
    <row r="5" spans="1:26" ht="27.95" customHeight="1">
      <c r="A5" s="1" t="s">
        <v>5</v>
      </c>
      <c r="B5" s="16" t="s">
        <v>6</v>
      </c>
      <c r="D5" s="13"/>
      <c r="E5" s="13"/>
      <c r="F5" s="13"/>
      <c r="G5" s="13"/>
      <c r="H5" s="13"/>
    </row>
    <row r="6" spans="1:26" ht="27.95" customHeight="1">
      <c r="A6" s="1" t="s">
        <v>7</v>
      </c>
      <c r="B6" s="16" t="s">
        <v>8</v>
      </c>
      <c r="D6" s="13"/>
      <c r="E6" s="13"/>
      <c r="F6" s="13"/>
      <c r="G6" s="13"/>
      <c r="H6" s="13"/>
    </row>
    <row r="7" spans="1:26" ht="27.95" customHeight="1">
      <c r="A7" s="1" t="s">
        <v>9</v>
      </c>
      <c r="B7" s="16" t="s">
        <v>10</v>
      </c>
      <c r="D7" s="13"/>
      <c r="E7" s="13"/>
      <c r="F7" s="13"/>
      <c r="G7" s="13"/>
      <c r="H7" s="13"/>
    </row>
    <row r="8" spans="1:26" ht="27.95" customHeight="1">
      <c r="A8" s="1" t="s">
        <v>11</v>
      </c>
      <c r="B8" s="16" t="s">
        <v>12</v>
      </c>
      <c r="D8" s="13"/>
      <c r="E8" s="13"/>
      <c r="F8" s="13"/>
      <c r="G8" s="13"/>
      <c r="H8" s="13"/>
    </row>
    <row r="9" spans="1:26" ht="27.95" customHeight="1">
      <c r="A9" s="1" t="s">
        <v>13</v>
      </c>
      <c r="B9" s="16" t="s">
        <v>14</v>
      </c>
      <c r="D9" s="13"/>
      <c r="E9" s="13"/>
      <c r="F9" s="13"/>
      <c r="G9" s="13"/>
      <c r="H9" s="13"/>
    </row>
    <row r="10" spans="1:26" ht="27.95" customHeight="1">
      <c r="A10" s="1" t="s">
        <v>15</v>
      </c>
      <c r="B10" s="16" t="s">
        <v>16</v>
      </c>
      <c r="D10" s="13"/>
      <c r="E10" s="13"/>
      <c r="F10" s="13"/>
      <c r="G10" s="13"/>
      <c r="H10" s="13"/>
    </row>
    <row r="12" spans="1:26" ht="35.1" customHeight="1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32</v>
      </c>
      <c r="Q12" s="1" t="s">
        <v>33</v>
      </c>
    </row>
    <row r="13" spans="1:26" ht="35.1" customHeight="1">
      <c r="A13" s="7" t="str">
        <f>Bank_Comparison_2025!A4</f>
        <v>Garanti BBVA</v>
      </c>
      <c r="B13" s="7">
        <f>Bank_Comparison_2025!B4</f>
        <v>30.141660000000002</v>
      </c>
      <c r="C13" s="7">
        <f>Bank_Comparison_2025!C4</f>
        <v>18.040749000000002</v>
      </c>
      <c r="D13" s="8">
        <f>Bank_Comparison_2025!D4</f>
        <v>0.59853203174609493</v>
      </c>
      <c r="E13" s="9">
        <f>Bank_Comparison_2025!E4</f>
        <v>22692.766037735848</v>
      </c>
      <c r="F13" s="9">
        <f>Bank_Comparison_2025!F4</f>
        <v>773.91570503195919</v>
      </c>
      <c r="G13" s="9">
        <f>Bank_Comparison_2025!G4</f>
        <v>2750.9528819762122</v>
      </c>
      <c r="H13" s="8">
        <f>Bank_Comparison_2025!H4</f>
        <v>0.63410361272265336</v>
      </c>
      <c r="I13" s="8">
        <f>Bank_Comparison_2025!I4</f>
        <v>-8.830275229357798E-2</v>
      </c>
      <c r="J13" s="7" t="str">
        <f>Bank_Comparison_2025!J4</f>
        <v>Exact customer base; Exact/Reported digital customers</v>
      </c>
      <c r="K13" s="7">
        <f>Bank_Comparison_2025!K4</f>
        <v>0</v>
      </c>
      <c r="L13" s="7">
        <f>Bank_Comparison_2025!L4</f>
        <v>1</v>
      </c>
      <c r="M13" s="7">
        <f>Bank_Comparison_2025!M4</f>
        <v>0</v>
      </c>
      <c r="N13" s="7">
        <f>Bank_Comparison_2025!N4</f>
        <v>0.11139448804072932</v>
      </c>
      <c r="O13" s="10">
        <f>Bank_Comparison_2025!O4</f>
        <v>32.227889760814591</v>
      </c>
      <c r="P13" s="11" t="e">
        <f ca="1">Bank_Comparison_2025!P4</f>
        <v>#NAME?</v>
      </c>
      <c r="Q13" s="7" t="str">
        <f>Bank_Comparison_2025!Q4</f>
        <v>Directional score based on core comparable metrics only; mobile/app and POS excluded.</v>
      </c>
    </row>
    <row r="14" spans="1:26" ht="35.1" customHeight="1">
      <c r="A14" s="7" t="str">
        <f>Bank_Comparison_2025!A5</f>
        <v>Akbank</v>
      </c>
      <c r="B14" s="7">
        <f>Bank_Comparison_2025!B5</f>
        <v>15.2</v>
      </c>
      <c r="C14" s="7">
        <f>Bank_Comparison_2025!C5</f>
        <v>13.2</v>
      </c>
      <c r="D14" s="8">
        <f>Bank_Comparison_2025!D5</f>
        <v>0.86842105263157898</v>
      </c>
      <c r="E14" s="9">
        <f>Bank_Comparison_2025!E5</f>
        <v>20401.854714064913</v>
      </c>
      <c r="F14" s="9">
        <f>Bank_Comparison_2025!F5</f>
        <v>1048.367881820348</v>
      </c>
      <c r="G14" s="9">
        <f>Bank_Comparison_2025!G5</f>
        <v>2078.4128483703353</v>
      </c>
      <c r="H14" s="8">
        <f>Bank_Comparison_2025!H5</f>
        <v>1</v>
      </c>
      <c r="I14" s="8">
        <f>Bank_Comparison_2025!I5</f>
        <v>-9.0014064697608975E-2</v>
      </c>
      <c r="J14" s="7" t="str">
        <f>Bank_Comparison_2025!J5</f>
        <v>Exact/Reported customer base; Reported digital customers</v>
      </c>
      <c r="K14" s="7">
        <f>Bank_Comparison_2025!K5</f>
        <v>1</v>
      </c>
      <c r="L14" s="7">
        <f>Bank_Comparison_2025!L5</f>
        <v>0.64449033443077863</v>
      </c>
      <c r="M14" s="7">
        <f>Bank_Comparison_2025!M5</f>
        <v>1</v>
      </c>
      <c r="N14" s="7">
        <f>Bank_Comparison_2025!N5</f>
        <v>1</v>
      </c>
      <c r="O14" s="10">
        <f>Bank_Comparison_2025!O5</f>
        <v>89.334710032923354</v>
      </c>
      <c r="P14" s="11" t="e">
        <f ca="1">Bank_Comparison_2025!P5</f>
        <v>#NAME?</v>
      </c>
      <c r="Q14" s="7" t="str">
        <f>Bank_Comparison_2025!Q5</f>
        <v>Directional score based on core comparable metrics only; mobile/app and POS excluded.</v>
      </c>
    </row>
    <row r="15" spans="1:26" ht="35.1" customHeight="1">
      <c r="A15" s="7" t="str">
        <f>Bank_Comparison_2025!A6</f>
        <v>İşbank</v>
      </c>
      <c r="B15" s="7">
        <f>Bank_Comparison_2025!B6</f>
        <v>25.5</v>
      </c>
      <c r="C15" s="7">
        <f>Bank_Comparison_2025!C6</f>
        <v>16.2</v>
      </c>
      <c r="D15" s="8">
        <f>Bank_Comparison_2025!D6</f>
        <v>0.63529411764705879</v>
      </c>
      <c r="E15" s="9">
        <f>Bank_Comparison_2025!E6</f>
        <v>16248.746238716149</v>
      </c>
      <c r="F15" s="9">
        <f>Bank_Comparison_2025!F6</f>
        <v>785.2641783809986</v>
      </c>
      <c r="G15" s="9">
        <f>Bank_Comparison_2025!G6</f>
        <v>2363.2385120350109</v>
      </c>
      <c r="H15" s="8">
        <f>Bank_Comparison_2025!H6</f>
        <v>0.58823529411764719</v>
      </c>
      <c r="I15" s="8">
        <f>Bank_Comparison_2025!I6</f>
        <v>-0.15076660988074952</v>
      </c>
      <c r="J15" s="7" t="str">
        <f>Bank_Comparison_2025!J6</f>
        <v>Proxy customer base; Reported digital customers</v>
      </c>
      <c r="K15" s="7">
        <f>Bank_Comparison_2025!K6</f>
        <v>0.13621186138046826</v>
      </c>
      <c r="L15" s="7">
        <f>Bank_Comparison_2025!L6</f>
        <v>0</v>
      </c>
      <c r="M15" s="7">
        <f>Bank_Comparison_2025!M6</f>
        <v>4.1349547603659331E-2</v>
      </c>
      <c r="N15" s="7">
        <f>Bank_Comparison_2025!N6</f>
        <v>0</v>
      </c>
      <c r="O15" s="10">
        <f>Bank_Comparison_2025!O6</f>
        <v>4.9133467934872339</v>
      </c>
      <c r="P15" s="11" t="e">
        <f ca="1">Bank_Comparison_2025!P6</f>
        <v>#NAME?</v>
      </c>
      <c r="Q15" s="7" t="str">
        <f>Bank_Comparison_2025!Q6</f>
        <v>Directional score based on core comparable metrics only; mobile/app and POS excluded.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topLeftCell="H1" zoomScaleNormal="100" zoomScaleSheetLayoutView="100" workbookViewId="0">
      <selection activeCell="K16" sqref="K16"/>
    </sheetView>
  </sheetViews>
  <sheetFormatPr defaultRowHeight="15"/>
  <cols>
    <col min="1" max="1" width="10" customWidth="1"/>
    <col min="2" max="3" width="18" customWidth="1"/>
    <col min="4" max="4" width="22" customWidth="1"/>
    <col min="5" max="5" width="20" customWidth="1"/>
    <col min="6" max="6" width="15" customWidth="1"/>
    <col min="7" max="7" width="15.75" customWidth="1"/>
    <col min="8" max="8" width="16" customWidth="1"/>
    <col min="9" max="9" width="19.625" customWidth="1"/>
    <col min="10" max="10" width="19.875" customWidth="1"/>
    <col min="11" max="11" width="53.125" customWidth="1"/>
    <col min="12" max="12" width="44" customWidth="1"/>
  </cols>
  <sheetData>
    <row r="1" spans="1:26" ht="24" customHeight="1">
      <c r="A1" s="17" t="s">
        <v>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>
        <v>2021</v>
      </c>
      <c r="B4" s="2">
        <v>2.7639999999999998</v>
      </c>
      <c r="C4" s="2">
        <v>65.953999999999994</v>
      </c>
      <c r="D4" s="2">
        <v>9.2140000000000004</v>
      </c>
      <c r="E4" s="2">
        <v>77.932000000000002</v>
      </c>
      <c r="F4" s="3">
        <f>C4/E4</f>
        <v>0.84630190422419538</v>
      </c>
      <c r="G4" s="3">
        <f>B4/E4</f>
        <v>3.5466817225273312E-2</v>
      </c>
      <c r="H4" s="3">
        <f>D4/E4</f>
        <v>0.11823127855053124</v>
      </c>
      <c r="I4" s="3"/>
      <c r="J4" s="3"/>
      <c r="K4" t="s">
        <v>47</v>
      </c>
      <c r="L4" t="s">
        <v>48</v>
      </c>
    </row>
    <row r="5" spans="1:26">
      <c r="A5">
        <v>2022</v>
      </c>
      <c r="B5" s="2">
        <v>2.3010000000000002</v>
      </c>
      <c r="C5" s="2">
        <v>82.304000000000002</v>
      </c>
      <c r="D5" s="2">
        <v>9.7859999999999996</v>
      </c>
      <c r="E5" s="2">
        <v>94.39</v>
      </c>
      <c r="F5" s="3">
        <f>C5/E5</f>
        <v>0.87195677508210612</v>
      </c>
      <c r="G5" s="3">
        <f>B5/E5</f>
        <v>2.4377582371013881E-2</v>
      </c>
      <c r="H5" s="3">
        <f>D5/E5</f>
        <v>0.10367623688950101</v>
      </c>
      <c r="I5" s="3">
        <f>E5/E4-1</f>
        <v>0.21118410922342545</v>
      </c>
      <c r="J5" s="3">
        <f>C5/C4-1</f>
        <v>0.24790005155108119</v>
      </c>
      <c r="K5" t="s">
        <v>47</v>
      </c>
      <c r="L5" t="s">
        <v>48</v>
      </c>
    </row>
    <row r="6" spans="1:26">
      <c r="A6">
        <v>2023</v>
      </c>
      <c r="B6" s="2">
        <v>1.802</v>
      </c>
      <c r="C6" s="2">
        <v>98.543000000000006</v>
      </c>
      <c r="D6" s="2">
        <v>10.243</v>
      </c>
      <c r="E6" s="2">
        <v>110.58799999999999</v>
      </c>
      <c r="F6" s="3">
        <f>C6/E6</f>
        <v>0.89108221506854279</v>
      </c>
      <c r="G6" s="3">
        <f>B6/E6</f>
        <v>1.6294715520671323E-2</v>
      </c>
      <c r="H6" s="3">
        <f>D6/E6</f>
        <v>9.2623069410785991E-2</v>
      </c>
      <c r="I6" s="3">
        <f>E6/E5-1</f>
        <v>0.17160716177561186</v>
      </c>
      <c r="J6" s="3">
        <f>C6/C5-1</f>
        <v>0.19730511275272167</v>
      </c>
      <c r="K6" t="s">
        <v>47</v>
      </c>
      <c r="L6" t="s">
        <v>48</v>
      </c>
    </row>
    <row r="7" spans="1:26">
      <c r="A7">
        <v>2024</v>
      </c>
      <c r="B7" s="2">
        <v>1.3680000000000001</v>
      </c>
      <c r="C7" s="2">
        <v>109.64400000000001</v>
      </c>
      <c r="D7" s="2">
        <v>8.1110000000000007</v>
      </c>
      <c r="E7" s="2">
        <v>119.123</v>
      </c>
      <c r="F7" s="3">
        <f>C7/E7</f>
        <v>0.92042678575925729</v>
      </c>
      <c r="G7" s="3">
        <f>B7/E7</f>
        <v>1.1483928376551968E-2</v>
      </c>
      <c r="H7" s="3">
        <f>D7/E7</f>
        <v>6.8089285864190802E-2</v>
      </c>
      <c r="I7" s="3">
        <f>E7/E6-1</f>
        <v>7.7178355698629186E-2</v>
      </c>
      <c r="J7" s="3">
        <f>C7/C6-1</f>
        <v>0.11265132987629767</v>
      </c>
      <c r="K7" t="s">
        <v>47</v>
      </c>
      <c r="L7" t="s">
        <v>48</v>
      </c>
    </row>
    <row r="8" spans="1:26">
      <c r="A8">
        <v>2025</v>
      </c>
      <c r="B8" s="2">
        <v>1.079</v>
      </c>
      <c r="C8" s="2">
        <v>119.78</v>
      </c>
      <c r="D8" s="2">
        <v>6.8179999999999996</v>
      </c>
      <c r="E8" s="2">
        <v>127.67700000000001</v>
      </c>
      <c r="F8" s="3">
        <f>C8/E8</f>
        <v>0.93814860938148603</v>
      </c>
      <c r="G8" s="3">
        <f>B8/E8</f>
        <v>8.4510131033780547E-3</v>
      </c>
      <c r="H8" s="3">
        <f>D8/E8</f>
        <v>5.3400377515135843E-2</v>
      </c>
      <c r="I8" s="3">
        <f>E8/E7-1</f>
        <v>7.1808131091392946E-2</v>
      </c>
      <c r="J8" s="3">
        <f>C8/C7-1</f>
        <v>9.2444639013534724E-2</v>
      </c>
      <c r="K8" t="s">
        <v>47</v>
      </c>
      <c r="L8" t="s">
        <v>48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"/>
  <sheetViews>
    <sheetView tabSelected="1" topLeftCell="I6" zoomScaleNormal="100" zoomScaleSheetLayoutView="100" workbookViewId="0">
      <selection activeCell="N21" sqref="N21"/>
    </sheetView>
  </sheetViews>
  <sheetFormatPr defaultRowHeight="15"/>
  <cols>
    <col min="1" max="1" width="16" customWidth="1"/>
    <col min="2" max="2" width="8" customWidth="1"/>
    <col min="3" max="3" width="18" customWidth="1"/>
    <col min="4" max="4" width="40" customWidth="1"/>
    <col min="5" max="5" width="18" customWidth="1"/>
    <col min="6" max="6" width="30" customWidth="1"/>
    <col min="7" max="7" width="10" customWidth="1"/>
    <col min="8" max="8" width="12" customWidth="1"/>
    <col min="9" max="9" width="10" customWidth="1"/>
    <col min="10" max="10" width="16" customWidth="1"/>
    <col min="11" max="11" width="18" customWidth="1"/>
    <col min="12" max="12" width="12.5" customWidth="1"/>
    <col min="13" max="13" width="15" customWidth="1"/>
    <col min="14" max="14" width="10.625" customWidth="1"/>
    <col min="15" max="15" width="43.625" customWidth="1"/>
    <col min="16" max="16" width="79.625" customWidth="1"/>
  </cols>
  <sheetData>
    <row r="1" spans="1:26" ht="24" customHeight="1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17</v>
      </c>
      <c r="B3" s="1" t="s">
        <v>35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61</v>
      </c>
      <c r="O3" s="1" t="s">
        <v>62</v>
      </c>
      <c r="P3" s="1" t="s">
        <v>63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.75">
      <c r="A4" t="s">
        <v>64</v>
      </c>
      <c r="B4">
        <v>2021</v>
      </c>
      <c r="C4" s="2">
        <v>20.376830999999999</v>
      </c>
      <c r="D4" t="s">
        <v>65</v>
      </c>
      <c r="E4" s="2">
        <v>11.040150000000001</v>
      </c>
      <c r="F4" t="s">
        <v>66</v>
      </c>
      <c r="G4" s="4">
        <v>872</v>
      </c>
      <c r="H4" s="4">
        <v>20962</v>
      </c>
      <c r="I4" s="4">
        <v>5401</v>
      </c>
      <c r="J4" t="s">
        <v>67</v>
      </c>
      <c r="K4" t="s">
        <v>68</v>
      </c>
      <c r="L4" t="s">
        <v>67</v>
      </c>
      <c r="M4" t="s">
        <v>67</v>
      </c>
      <c r="N4" t="s">
        <v>67</v>
      </c>
      <c r="O4" s="18" t="s">
        <v>69</v>
      </c>
      <c r="P4" t="s">
        <v>70</v>
      </c>
    </row>
    <row r="5" spans="1:26" ht="33.75">
      <c r="A5" t="s">
        <v>64</v>
      </c>
      <c r="B5">
        <v>2022</v>
      </c>
      <c r="C5" s="2">
        <v>23.179428999999999</v>
      </c>
      <c r="D5" t="s">
        <v>65</v>
      </c>
      <c r="E5" s="2">
        <v>13.386156</v>
      </c>
      <c r="F5" t="s">
        <v>66</v>
      </c>
      <c r="G5" s="4">
        <v>838</v>
      </c>
      <c r="H5" s="4">
        <v>21684</v>
      </c>
      <c r="I5" s="4">
        <v>5450</v>
      </c>
      <c r="J5" t="s">
        <v>67</v>
      </c>
      <c r="K5" t="s">
        <v>68</v>
      </c>
      <c r="L5" t="s">
        <v>67</v>
      </c>
      <c r="M5" t="s">
        <v>67</v>
      </c>
      <c r="N5" t="s">
        <v>67</v>
      </c>
      <c r="O5" s="18" t="s">
        <v>69</v>
      </c>
      <c r="P5" t="s">
        <v>71</v>
      </c>
    </row>
    <row r="6" spans="1:26" ht="33.75">
      <c r="A6" t="s">
        <v>64</v>
      </c>
      <c r="B6">
        <v>2023</v>
      </c>
      <c r="C6" s="2">
        <v>25.351113000000002</v>
      </c>
      <c r="D6" t="s">
        <v>65</v>
      </c>
      <c r="E6" s="2">
        <v>15.046929</v>
      </c>
      <c r="F6" t="s">
        <v>66</v>
      </c>
      <c r="G6" s="4">
        <v>805</v>
      </c>
      <c r="H6" s="4">
        <v>22016</v>
      </c>
      <c r="I6" s="4">
        <v>5511</v>
      </c>
      <c r="J6" t="s">
        <v>67</v>
      </c>
      <c r="K6" t="s">
        <v>68</v>
      </c>
      <c r="L6" t="s">
        <v>67</v>
      </c>
      <c r="M6" t="s">
        <v>67</v>
      </c>
      <c r="N6" t="s">
        <v>67</v>
      </c>
      <c r="O6" s="18" t="s">
        <v>69</v>
      </c>
      <c r="P6" t="s">
        <v>71</v>
      </c>
    </row>
    <row r="7" spans="1:26" ht="33.75">
      <c r="A7" t="s">
        <v>64</v>
      </c>
      <c r="B7">
        <v>2024</v>
      </c>
      <c r="C7" s="2">
        <v>27.717447</v>
      </c>
      <c r="D7" t="s">
        <v>65</v>
      </c>
      <c r="E7" s="2">
        <v>16.718413000000002</v>
      </c>
      <c r="F7" t="s">
        <v>66</v>
      </c>
      <c r="G7" s="4">
        <v>795</v>
      </c>
      <c r="H7" s="4">
        <v>22664</v>
      </c>
      <c r="I7" s="4">
        <v>5820</v>
      </c>
      <c r="J7" t="s">
        <v>67</v>
      </c>
      <c r="K7" t="s">
        <v>68</v>
      </c>
      <c r="L7" t="s">
        <v>67</v>
      </c>
      <c r="M7" t="s">
        <v>67</v>
      </c>
      <c r="N7" t="s">
        <v>67</v>
      </c>
      <c r="O7" s="18" t="s">
        <v>69</v>
      </c>
      <c r="P7" t="s">
        <v>71</v>
      </c>
    </row>
    <row r="8" spans="1:26" ht="33.75">
      <c r="A8" t="s">
        <v>64</v>
      </c>
      <c r="B8">
        <v>2025</v>
      </c>
      <c r="C8" s="2">
        <v>30.141660000000002</v>
      </c>
      <c r="D8" t="s">
        <v>65</v>
      </c>
      <c r="E8" s="2">
        <v>18.040749000000002</v>
      </c>
      <c r="F8" t="s">
        <v>66</v>
      </c>
      <c r="G8" s="4">
        <v>795</v>
      </c>
      <c r="H8" s="4">
        <v>23311</v>
      </c>
      <c r="I8" s="4">
        <v>6558</v>
      </c>
      <c r="J8" t="s">
        <v>67</v>
      </c>
      <c r="K8" t="s">
        <v>68</v>
      </c>
      <c r="L8" t="s">
        <v>67</v>
      </c>
      <c r="M8" t="s">
        <v>67</v>
      </c>
      <c r="N8" t="s">
        <v>67</v>
      </c>
      <c r="O8" s="18" t="s">
        <v>69</v>
      </c>
      <c r="P8" t="s">
        <v>71</v>
      </c>
    </row>
    <row r="9" spans="1:26">
      <c r="A9" t="s">
        <v>72</v>
      </c>
      <c r="B9">
        <v>2021</v>
      </c>
      <c r="C9" s="2">
        <v>10</v>
      </c>
      <c r="D9" t="s">
        <v>73</v>
      </c>
      <c r="E9" s="2">
        <v>6.6</v>
      </c>
      <c r="F9" t="s">
        <v>74</v>
      </c>
      <c r="G9" s="4">
        <v>711</v>
      </c>
      <c r="H9" s="4">
        <v>12000</v>
      </c>
      <c r="I9" s="4">
        <v>5300</v>
      </c>
      <c r="J9" t="s">
        <v>75</v>
      </c>
      <c r="K9" t="s">
        <v>76</v>
      </c>
      <c r="L9" t="s">
        <v>67</v>
      </c>
      <c r="M9" t="s">
        <v>75</v>
      </c>
      <c r="N9" t="s">
        <v>75</v>
      </c>
      <c r="O9" t="s">
        <v>77</v>
      </c>
      <c r="P9" t="s">
        <v>78</v>
      </c>
    </row>
    <row r="10" spans="1:26">
      <c r="A10" t="s">
        <v>72</v>
      </c>
      <c r="B10">
        <v>2022</v>
      </c>
      <c r="C10" s="2">
        <v>10.8</v>
      </c>
      <c r="D10" t="s">
        <v>79</v>
      </c>
      <c r="E10" s="2">
        <v>8.6999999999999993</v>
      </c>
      <c r="F10" t="s">
        <v>74</v>
      </c>
      <c r="G10" s="4">
        <v>711</v>
      </c>
      <c r="H10" s="4">
        <v>12000</v>
      </c>
      <c r="I10" s="4">
        <v>5900</v>
      </c>
      <c r="J10" t="s">
        <v>75</v>
      </c>
      <c r="K10" t="s">
        <v>76</v>
      </c>
      <c r="L10" t="s">
        <v>67</v>
      </c>
      <c r="M10" t="s">
        <v>75</v>
      </c>
      <c r="N10" t="s">
        <v>75</v>
      </c>
      <c r="O10" t="s">
        <v>80</v>
      </c>
      <c r="P10" t="s">
        <v>78</v>
      </c>
    </row>
    <row r="11" spans="1:26">
      <c r="A11" t="s">
        <v>72</v>
      </c>
      <c r="B11">
        <v>2023</v>
      </c>
      <c r="C11" s="2">
        <v>13.1</v>
      </c>
      <c r="D11" t="s">
        <v>81</v>
      </c>
      <c r="E11" s="2">
        <v>11.2</v>
      </c>
      <c r="F11" t="s">
        <v>74</v>
      </c>
      <c r="G11" s="4">
        <v>705</v>
      </c>
      <c r="H11" s="4">
        <v>12000</v>
      </c>
      <c r="I11" s="4">
        <v>5854</v>
      </c>
      <c r="J11" t="s">
        <v>75</v>
      </c>
      <c r="K11" t="s">
        <v>76</v>
      </c>
      <c r="L11" t="s">
        <v>67</v>
      </c>
      <c r="M11" t="s">
        <v>75</v>
      </c>
      <c r="N11" t="s">
        <v>67</v>
      </c>
      <c r="O11" t="s">
        <v>82</v>
      </c>
      <c r="P11" t="s">
        <v>83</v>
      </c>
    </row>
    <row r="12" spans="1:26">
      <c r="A12" t="s">
        <v>72</v>
      </c>
      <c r="B12">
        <v>2024</v>
      </c>
      <c r="C12" s="2">
        <v>14.5</v>
      </c>
      <c r="D12" t="s">
        <v>84</v>
      </c>
      <c r="E12" s="2">
        <v>12.5</v>
      </c>
      <c r="F12" t="s">
        <v>74</v>
      </c>
      <c r="G12" s="4">
        <v>694</v>
      </c>
      <c r="H12" s="4">
        <v>12778</v>
      </c>
      <c r="I12" s="4">
        <v>6210</v>
      </c>
      <c r="J12" t="s">
        <v>76</v>
      </c>
      <c r="K12" t="s">
        <v>76</v>
      </c>
      <c r="L12" t="s">
        <v>67</v>
      </c>
      <c r="M12" t="s">
        <v>67</v>
      </c>
      <c r="N12" t="s">
        <v>67</v>
      </c>
      <c r="O12" t="s">
        <v>85</v>
      </c>
      <c r="P12" t="s">
        <v>86</v>
      </c>
    </row>
    <row r="13" spans="1:26">
      <c r="A13" t="s">
        <v>72</v>
      </c>
      <c r="B13">
        <v>2025</v>
      </c>
      <c r="C13" s="2">
        <v>15.2</v>
      </c>
      <c r="D13" t="s">
        <v>87</v>
      </c>
      <c r="E13" s="2">
        <v>13.2</v>
      </c>
      <c r="F13" t="s">
        <v>88</v>
      </c>
      <c r="G13" s="4">
        <v>647</v>
      </c>
      <c r="H13" s="4">
        <v>12591</v>
      </c>
      <c r="I13" s="4">
        <v>6351</v>
      </c>
      <c r="J13" t="s">
        <v>68</v>
      </c>
      <c r="K13" t="s">
        <v>76</v>
      </c>
      <c r="L13" t="s">
        <v>67</v>
      </c>
      <c r="M13" t="s">
        <v>67</v>
      </c>
      <c r="N13" t="s">
        <v>67</v>
      </c>
      <c r="O13" t="s">
        <v>89</v>
      </c>
      <c r="P13" t="s">
        <v>90</v>
      </c>
    </row>
    <row r="14" spans="1:26">
      <c r="A14" t="s">
        <v>91</v>
      </c>
      <c r="B14">
        <v>2021</v>
      </c>
      <c r="C14" s="2">
        <v>20.7</v>
      </c>
      <c r="D14" t="s">
        <v>65</v>
      </c>
      <c r="E14" s="2">
        <v>10.199999999999999</v>
      </c>
      <c r="F14" t="s">
        <v>66</v>
      </c>
      <c r="G14" s="4">
        <v>1174</v>
      </c>
      <c r="H14" s="4">
        <v>22802</v>
      </c>
      <c r="I14" s="4">
        <v>6476</v>
      </c>
      <c r="J14" t="s">
        <v>76</v>
      </c>
      <c r="K14" t="s">
        <v>76</v>
      </c>
      <c r="L14" t="s">
        <v>67</v>
      </c>
      <c r="M14" t="s">
        <v>67</v>
      </c>
      <c r="N14" t="s">
        <v>67</v>
      </c>
      <c r="O14" t="s">
        <v>92</v>
      </c>
      <c r="P14" t="s">
        <v>70</v>
      </c>
    </row>
    <row r="15" spans="1:26">
      <c r="A15" t="s">
        <v>91</v>
      </c>
      <c r="B15">
        <v>2022</v>
      </c>
      <c r="C15" s="2">
        <v>22.8</v>
      </c>
      <c r="D15" t="s">
        <v>93</v>
      </c>
      <c r="E15" s="2">
        <v>13</v>
      </c>
      <c r="F15" t="s">
        <v>66</v>
      </c>
      <c r="G15" s="4">
        <v>1110</v>
      </c>
      <c r="H15" s="4">
        <v>23309</v>
      </c>
      <c r="I15" s="4">
        <v>6169</v>
      </c>
      <c r="J15" t="s">
        <v>76</v>
      </c>
      <c r="K15" t="s">
        <v>76</v>
      </c>
      <c r="L15" t="s">
        <v>67</v>
      </c>
      <c r="M15" t="s">
        <v>67</v>
      </c>
      <c r="N15" t="s">
        <v>67</v>
      </c>
      <c r="O15" t="s">
        <v>94</v>
      </c>
      <c r="P15" t="s">
        <v>95</v>
      </c>
    </row>
    <row r="16" spans="1:26">
      <c r="A16" t="s">
        <v>91</v>
      </c>
      <c r="B16">
        <v>2023</v>
      </c>
      <c r="C16" s="2">
        <v>24.3</v>
      </c>
      <c r="D16" t="s">
        <v>93</v>
      </c>
      <c r="E16" s="2">
        <v>15</v>
      </c>
      <c r="F16" t="s">
        <v>96</v>
      </c>
      <c r="G16" s="4">
        <v>1066</v>
      </c>
      <c r="H16" s="4">
        <v>21167</v>
      </c>
      <c r="I16" s="4">
        <v>6312</v>
      </c>
      <c r="J16" t="s">
        <v>76</v>
      </c>
      <c r="K16" t="s">
        <v>75</v>
      </c>
      <c r="L16" t="s">
        <v>67</v>
      </c>
      <c r="M16" t="s">
        <v>67</v>
      </c>
      <c r="N16" t="s">
        <v>67</v>
      </c>
      <c r="O16" t="s">
        <v>97</v>
      </c>
      <c r="P16" t="s">
        <v>98</v>
      </c>
    </row>
    <row r="17" spans="1:16">
      <c r="A17" t="s">
        <v>91</v>
      </c>
      <c r="B17">
        <v>2024</v>
      </c>
      <c r="C17" s="2">
        <v>25</v>
      </c>
      <c r="D17" t="s">
        <v>99</v>
      </c>
      <c r="E17" s="2">
        <v>16.7</v>
      </c>
      <c r="F17" t="s">
        <v>66</v>
      </c>
      <c r="G17" s="4">
        <v>1012</v>
      </c>
      <c r="H17" s="4">
        <v>20560</v>
      </c>
      <c r="I17" s="4">
        <v>6496</v>
      </c>
      <c r="J17" t="s">
        <v>75</v>
      </c>
      <c r="K17" t="s">
        <v>76</v>
      </c>
      <c r="L17" t="s">
        <v>67</v>
      </c>
      <c r="M17" t="s">
        <v>67</v>
      </c>
      <c r="N17" t="s">
        <v>67</v>
      </c>
      <c r="O17" t="s">
        <v>100</v>
      </c>
      <c r="P17" t="s">
        <v>101</v>
      </c>
    </row>
    <row r="18" spans="1:16" ht="33.75">
      <c r="A18" t="s">
        <v>91</v>
      </c>
      <c r="B18">
        <v>2025</v>
      </c>
      <c r="C18" s="2">
        <v>25.5</v>
      </c>
      <c r="D18" t="s">
        <v>102</v>
      </c>
      <c r="E18" s="2">
        <v>16.2</v>
      </c>
      <c r="F18" t="s">
        <v>103</v>
      </c>
      <c r="G18" s="4">
        <v>997</v>
      </c>
      <c r="H18" s="4">
        <v>20630</v>
      </c>
      <c r="I18" s="4">
        <v>6855</v>
      </c>
      <c r="J18" t="s">
        <v>104</v>
      </c>
      <c r="K18" t="s">
        <v>76</v>
      </c>
      <c r="L18" t="s">
        <v>67</v>
      </c>
      <c r="M18" t="s">
        <v>67</v>
      </c>
      <c r="N18" t="s">
        <v>67</v>
      </c>
      <c r="O18" s="18" t="s">
        <v>105</v>
      </c>
      <c r="P18" t="s">
        <v>106</v>
      </c>
    </row>
  </sheetData>
  <mergeCells count="1">
    <mergeCell ref="A1:P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"/>
  <sheetViews>
    <sheetView zoomScaleNormal="100" zoomScaleSheetLayoutView="100" workbookViewId="0">
      <selection activeCell="G3" sqref="G3"/>
    </sheetView>
  </sheetViews>
  <sheetFormatPr defaultRowHeight="15"/>
  <cols>
    <col min="1" max="1" width="16" customWidth="1"/>
    <col min="2" max="2" width="8" customWidth="1"/>
    <col min="3" max="3" width="16" customWidth="1"/>
    <col min="4" max="4" width="18" customWidth="1"/>
    <col min="5" max="5" width="20" customWidth="1"/>
    <col min="6" max="6" width="18" customWidth="1"/>
    <col min="7" max="7" width="23.5" customWidth="1"/>
    <col min="8" max="8" width="15.5" customWidth="1"/>
    <col min="9" max="9" width="19.75" customWidth="1"/>
    <col min="10" max="10" width="46.25" customWidth="1"/>
    <col min="11" max="11" width="40" customWidth="1"/>
    <col min="12" max="12" width="40.75" customWidth="1"/>
  </cols>
  <sheetData>
    <row r="1" spans="1:26" ht="24" customHeight="1">
      <c r="A1" s="17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17</v>
      </c>
      <c r="B3" s="1" t="s">
        <v>35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108</v>
      </c>
      <c r="H3" s="1" t="s">
        <v>109</v>
      </c>
      <c r="I3" s="1" t="s">
        <v>110</v>
      </c>
      <c r="J3" s="1" t="s">
        <v>26</v>
      </c>
      <c r="K3" s="1" t="s">
        <v>111</v>
      </c>
      <c r="L3" s="1" t="s">
        <v>112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t="str">
        <f>Bank_Core_Data!A4</f>
        <v>Garanti BBVA</v>
      </c>
      <c r="B4">
        <f>Bank_Core_Data!B4</f>
        <v>2021</v>
      </c>
      <c r="C4" s="3">
        <f>Bank_Core_Data!E4/Bank_Core_Data!C4</f>
        <v>0.54179916396224714</v>
      </c>
      <c r="D4" s="4">
        <f>Bank_Core_Data!E4*1000000/Bank_Core_Data!G4</f>
        <v>12660.722477064221</v>
      </c>
      <c r="E4" s="4">
        <f>Bank_Core_Data!E4*1000000/Bank_Core_Data!H4</f>
        <v>526.67445854403206</v>
      </c>
      <c r="F4" s="4">
        <f>Bank_Core_Data!E4*1000000/Bank_Core_Data!I4</f>
        <v>2044.0936863543789</v>
      </c>
      <c r="G4" s="3"/>
      <c r="H4" s="3"/>
      <c r="I4" t="s">
        <v>113</v>
      </c>
      <c r="J4" t="str">
        <f>Bank_Core_Data!J4&amp;" customer base; "&amp;Bank_Core_Data!K4&amp;" digital customers"</f>
        <v>Exact customer base; Exact/Reported digital customers</v>
      </c>
      <c r="K4" t="str">
        <f>Bank_Core_Data!D4</f>
        <v>Total customers</v>
      </c>
      <c r="L4" t="str">
        <f>Bank_Core_Data!F4</f>
        <v>Digital banking customers</v>
      </c>
    </row>
    <row r="5" spans="1:26">
      <c r="A5" t="str">
        <f>Bank_Core_Data!A5</f>
        <v>Garanti BBVA</v>
      </c>
      <c r="B5">
        <f>Bank_Core_Data!B5</f>
        <v>2022</v>
      </c>
      <c r="C5" s="3">
        <f>Bank_Core_Data!E5/Bank_Core_Data!C5</f>
        <v>0.57750154242367235</v>
      </c>
      <c r="D5" s="4">
        <f>Bank_Core_Data!E5*1000000/Bank_Core_Data!G5</f>
        <v>15973.933174224343</v>
      </c>
      <c r="E5" s="4">
        <f>Bank_Core_Data!E5*1000000/Bank_Core_Data!H5</f>
        <v>617.32872163807417</v>
      </c>
      <c r="F5" s="4">
        <f>Bank_Core_Data!E5*1000000/Bank_Core_Data!I5</f>
        <v>2456.1754128440366</v>
      </c>
      <c r="G5" s="3">
        <f>IF(A5=A4,Bank_Core_Data!E5/Bank_Core_Data!E4-1,"")</f>
        <v>0.21249765628184392</v>
      </c>
      <c r="H5" s="3">
        <f>IF(A5=A4,Bank_Core_Data!G5/Bank_Core_Data!G4-1,"")</f>
        <v>-3.8990825688073438E-2</v>
      </c>
      <c r="I5" t="s">
        <v>113</v>
      </c>
      <c r="J5" t="str">
        <f>Bank_Core_Data!J5&amp;" customer base; "&amp;Bank_Core_Data!K5&amp;" digital customers"</f>
        <v>Exact customer base; Exact/Reported digital customers</v>
      </c>
      <c r="K5" t="str">
        <f>Bank_Core_Data!D5</f>
        <v>Total customers</v>
      </c>
      <c r="L5" t="str">
        <f>Bank_Core_Data!F5</f>
        <v>Digital banking customers</v>
      </c>
    </row>
    <row r="6" spans="1:26">
      <c r="A6" t="str">
        <f>Bank_Core_Data!A6</f>
        <v>Garanti BBVA</v>
      </c>
      <c r="B6">
        <f>Bank_Core_Data!B6</f>
        <v>2023</v>
      </c>
      <c r="C6" s="3">
        <f>Bank_Core_Data!E6/Bank_Core_Data!C6</f>
        <v>0.59354115931714713</v>
      </c>
      <c r="D6" s="4">
        <f>Bank_Core_Data!E6*1000000/Bank_Core_Data!G6</f>
        <v>18691.837267080744</v>
      </c>
      <c r="E6" s="4">
        <f>Bank_Core_Data!E6*1000000/Bank_Core_Data!H6</f>
        <v>683.45426053779067</v>
      </c>
      <c r="F6" s="4">
        <f>Bank_Core_Data!E6*1000000/Bank_Core_Data!I6</f>
        <v>2730.3445835601524</v>
      </c>
      <c r="G6" s="3">
        <f>IF(A6=A5,Bank_Core_Data!E6/Bank_Core_Data!E5-1,"")</f>
        <v>0.12406646090184514</v>
      </c>
      <c r="H6" s="3">
        <f>IF(A6=A5,Bank_Core_Data!G6/Bank_Core_Data!G5-1,"")</f>
        <v>-3.9379474940334114E-2</v>
      </c>
      <c r="I6" t="s">
        <v>113</v>
      </c>
      <c r="J6" t="str">
        <f>Bank_Core_Data!J6&amp;" customer base; "&amp;Bank_Core_Data!K6&amp;" digital customers"</f>
        <v>Exact customer base; Exact/Reported digital customers</v>
      </c>
      <c r="K6" t="str">
        <f>Bank_Core_Data!D6</f>
        <v>Total customers</v>
      </c>
      <c r="L6" t="str">
        <f>Bank_Core_Data!F6</f>
        <v>Digital banking customers</v>
      </c>
    </row>
    <row r="7" spans="1:26">
      <c r="A7" t="str">
        <f>Bank_Core_Data!A7</f>
        <v>Garanti BBVA</v>
      </c>
      <c r="B7">
        <f>Bank_Core_Data!B7</f>
        <v>2024</v>
      </c>
      <c r="C7" s="3">
        <f>Bank_Core_Data!E7/Bank_Core_Data!C7</f>
        <v>0.6031729040557019</v>
      </c>
      <c r="D7" s="4">
        <f>Bank_Core_Data!E7*1000000/Bank_Core_Data!G7</f>
        <v>21029.450314465412</v>
      </c>
      <c r="E7" s="4">
        <f>Bank_Core_Data!E7*1000000/Bank_Core_Data!H7</f>
        <v>737.66382809742333</v>
      </c>
      <c r="F7" s="4">
        <f>Bank_Core_Data!E7*1000000/Bank_Core_Data!I7</f>
        <v>2872.5795532646052</v>
      </c>
      <c r="G7" s="3">
        <f>IF(A7=A6,Bank_Core_Data!E7/Bank_Core_Data!E6-1,"")</f>
        <v>0.11108472698980654</v>
      </c>
      <c r="H7" s="3">
        <f>IF(A7=A6,Bank_Core_Data!G7/Bank_Core_Data!G6-1,"")</f>
        <v>-1.2422360248447228E-2</v>
      </c>
      <c r="I7" t="s">
        <v>113</v>
      </c>
      <c r="J7" t="str">
        <f>Bank_Core_Data!J7&amp;" customer base; "&amp;Bank_Core_Data!K7&amp;" digital customers"</f>
        <v>Exact customer base; Exact/Reported digital customers</v>
      </c>
      <c r="K7" t="str">
        <f>Bank_Core_Data!D7</f>
        <v>Total customers</v>
      </c>
      <c r="L7" t="str">
        <f>Bank_Core_Data!F7</f>
        <v>Digital banking customers</v>
      </c>
    </row>
    <row r="8" spans="1:26">
      <c r="A8" t="str">
        <f>Bank_Core_Data!A8</f>
        <v>Garanti BBVA</v>
      </c>
      <c r="B8">
        <f>Bank_Core_Data!B8</f>
        <v>2025</v>
      </c>
      <c r="C8" s="3">
        <f>Bank_Core_Data!E8/Bank_Core_Data!C8</f>
        <v>0.59853203174609493</v>
      </c>
      <c r="D8" s="4">
        <f>Bank_Core_Data!E8*1000000/Bank_Core_Data!G8</f>
        <v>22692.766037735848</v>
      </c>
      <c r="E8" s="4">
        <f>Bank_Core_Data!E8*1000000/Bank_Core_Data!H8</f>
        <v>773.91570503195919</v>
      </c>
      <c r="F8" s="4">
        <f>Bank_Core_Data!E8*1000000/Bank_Core_Data!I8</f>
        <v>2750.9528819762122</v>
      </c>
      <c r="G8" s="3">
        <f>IF(A8=A7,Bank_Core_Data!E8/Bank_Core_Data!E7-1,"")</f>
        <v>7.9094588702887103E-2</v>
      </c>
      <c r="H8" s="3">
        <f>IF(A8=A7,Bank_Core_Data!G8/Bank_Core_Data!G7-1,"")</f>
        <v>0</v>
      </c>
      <c r="I8" t="s">
        <v>113</v>
      </c>
      <c r="J8" t="str">
        <f>Bank_Core_Data!J8&amp;" customer base; "&amp;Bank_Core_Data!K8&amp;" digital customers"</f>
        <v>Exact customer base; Exact/Reported digital customers</v>
      </c>
      <c r="K8" t="str">
        <f>Bank_Core_Data!D8</f>
        <v>Total customers</v>
      </c>
      <c r="L8" t="str">
        <f>Bank_Core_Data!F8</f>
        <v>Digital banking customers</v>
      </c>
    </row>
    <row r="9" spans="1:26">
      <c r="A9" t="str">
        <f>Bank_Core_Data!A9</f>
        <v>Akbank</v>
      </c>
      <c r="B9">
        <f>Bank_Core_Data!B9</f>
        <v>2021</v>
      </c>
      <c r="C9" s="3">
        <f>Bank_Core_Data!E9/Bank_Core_Data!C9</f>
        <v>0.65999999999999992</v>
      </c>
      <c r="D9" s="4">
        <f>Bank_Core_Data!E9*1000000/Bank_Core_Data!G9</f>
        <v>9282.7004219409282</v>
      </c>
      <c r="E9" s="4">
        <f>Bank_Core_Data!E9*1000000/Bank_Core_Data!H9</f>
        <v>550</v>
      </c>
      <c r="F9" s="4">
        <f>Bank_Core_Data!E9*1000000/Bank_Core_Data!I9</f>
        <v>1245.2830188679245</v>
      </c>
      <c r="G9" s="3"/>
      <c r="H9" s="3"/>
      <c r="I9" t="s">
        <v>113</v>
      </c>
      <c r="J9" t="str">
        <f>Bank_Core_Data!J9&amp;" customer base; "&amp;Bank_Core_Data!K9&amp;" digital customers"</f>
        <v>Approximate customer base; Reported digital customers</v>
      </c>
      <c r="K9" t="str">
        <f>Bank_Core_Data!D9</f>
        <v>Active/customers reported as over 10M</v>
      </c>
      <c r="L9" t="str">
        <f>Bank_Core_Data!F9</f>
        <v>Digital banking users</v>
      </c>
    </row>
    <row r="10" spans="1:26">
      <c r="A10" t="str">
        <f>Bank_Core_Data!A10</f>
        <v>Akbank</v>
      </c>
      <c r="B10">
        <f>Bank_Core_Data!B10</f>
        <v>2022</v>
      </c>
      <c r="C10" s="3">
        <f>Bank_Core_Data!E10/Bank_Core_Data!C10</f>
        <v>0.80555555555555547</v>
      </c>
      <c r="D10" s="4">
        <f>Bank_Core_Data!E10*1000000/Bank_Core_Data!G10</f>
        <v>12236.286919831224</v>
      </c>
      <c r="E10" s="4">
        <f>Bank_Core_Data!E10*1000000/Bank_Core_Data!H10</f>
        <v>725</v>
      </c>
      <c r="F10" s="4">
        <f>Bank_Core_Data!E10*1000000/Bank_Core_Data!I10</f>
        <v>1474.5762711864406</v>
      </c>
      <c r="G10" s="3">
        <f>IF(A10=A9,Bank_Core_Data!E10/Bank_Core_Data!E9-1,"")</f>
        <v>0.31818181818181812</v>
      </c>
      <c r="H10" s="3">
        <f>IF(A10=A9,Bank_Core_Data!G10/Bank_Core_Data!G9-1,"")</f>
        <v>0</v>
      </c>
      <c r="I10" t="s">
        <v>113</v>
      </c>
      <c r="J10" t="str">
        <f>Bank_Core_Data!J10&amp;" customer base; "&amp;Bank_Core_Data!K10&amp;" digital customers"</f>
        <v>Approximate customer base; Reported digital customers</v>
      </c>
      <c r="K10" t="str">
        <f>Bank_Core_Data!D10</f>
        <v>Active customers reported as over 10.8M</v>
      </c>
      <c r="L10" t="str">
        <f>Bank_Core_Data!F10</f>
        <v>Digital banking users</v>
      </c>
    </row>
    <row r="11" spans="1:26">
      <c r="A11" t="str">
        <f>Bank_Core_Data!A11</f>
        <v>Akbank</v>
      </c>
      <c r="B11">
        <f>Bank_Core_Data!B11</f>
        <v>2023</v>
      </c>
      <c r="C11" s="3">
        <f>Bank_Core_Data!E11/Bank_Core_Data!C11</f>
        <v>0.85496183206106868</v>
      </c>
      <c r="D11" s="4">
        <f>Bank_Core_Data!E11*1000000/Bank_Core_Data!G11</f>
        <v>15886.524822695035</v>
      </c>
      <c r="E11" s="4">
        <f>Bank_Core_Data!E11*1000000/Bank_Core_Data!H11</f>
        <v>933.33333333333337</v>
      </c>
      <c r="F11" s="4">
        <f>Bank_Core_Data!E11*1000000/Bank_Core_Data!I11</f>
        <v>1913.2217287324906</v>
      </c>
      <c r="G11" s="3">
        <f>IF(A11=A10,Bank_Core_Data!E11/Bank_Core_Data!E10-1,"")</f>
        <v>0.28735632183908044</v>
      </c>
      <c r="H11" s="3">
        <f>IF(A11=A10,Bank_Core_Data!G11/Bank_Core_Data!G10-1,"")</f>
        <v>-8.4388185654008518E-3</v>
      </c>
      <c r="I11" t="s">
        <v>113</v>
      </c>
      <c r="J11" t="str">
        <f>Bank_Core_Data!J11&amp;" customer base; "&amp;Bank_Core_Data!K11&amp;" digital customers"</f>
        <v>Approximate customer base; Reported digital customers</v>
      </c>
      <c r="K11" t="str">
        <f>Bank_Core_Data!D11</f>
        <v>Net active customers reported as more than 13.1M</v>
      </c>
      <c r="L11" t="str">
        <f>Bank_Core_Data!F11</f>
        <v>Digital banking users</v>
      </c>
    </row>
    <row r="12" spans="1:26">
      <c r="A12" t="str">
        <f>Bank_Core_Data!A12</f>
        <v>Akbank</v>
      </c>
      <c r="B12">
        <f>Bank_Core_Data!B12</f>
        <v>2024</v>
      </c>
      <c r="C12" s="3">
        <f>Bank_Core_Data!E12/Bank_Core_Data!C12</f>
        <v>0.86206896551724133</v>
      </c>
      <c r="D12" s="4">
        <f>Bank_Core_Data!E12*1000000/Bank_Core_Data!G12</f>
        <v>18011.527377521616</v>
      </c>
      <c r="E12" s="4">
        <f>Bank_Core_Data!E12*1000000/Bank_Core_Data!H12</f>
        <v>978.24385662858037</v>
      </c>
      <c r="F12" s="4">
        <f>Bank_Core_Data!E12*1000000/Bank_Core_Data!I12</f>
        <v>2012.8824476650564</v>
      </c>
      <c r="G12" s="3">
        <f>IF(A12=A11,Bank_Core_Data!E12/Bank_Core_Data!E11-1,"")</f>
        <v>0.1160714285714286</v>
      </c>
      <c r="H12" s="3">
        <f>IF(A12=A11,Bank_Core_Data!G12/Bank_Core_Data!G11-1,"")</f>
        <v>-1.5602836879432647E-2</v>
      </c>
      <c r="I12" t="s">
        <v>113</v>
      </c>
      <c r="J12" t="str">
        <f>Bank_Core_Data!J12&amp;" customer base; "&amp;Bank_Core_Data!K12&amp;" digital customers"</f>
        <v>Reported customer base; Reported digital customers</v>
      </c>
      <c r="K12" t="str">
        <f>Bank_Core_Data!D12</f>
        <v>Total/customers reported as 14.5M</v>
      </c>
      <c r="L12" t="str">
        <f>Bank_Core_Data!F12</f>
        <v>Digital banking users</v>
      </c>
    </row>
    <row r="13" spans="1:26">
      <c r="A13" t="str">
        <f>Bank_Core_Data!A13</f>
        <v>Akbank</v>
      </c>
      <c r="B13">
        <f>Bank_Core_Data!B13</f>
        <v>2025</v>
      </c>
      <c r="C13" s="3">
        <f>Bank_Core_Data!E13/Bank_Core_Data!C13</f>
        <v>0.86842105263157898</v>
      </c>
      <c r="D13" s="4">
        <f>Bank_Core_Data!E13*1000000/Bank_Core_Data!G13</f>
        <v>20401.854714064913</v>
      </c>
      <c r="E13" s="4">
        <f>Bank_Core_Data!E13*1000000/Bank_Core_Data!H13</f>
        <v>1048.367881820348</v>
      </c>
      <c r="F13" s="4">
        <f>Bank_Core_Data!E13*1000000/Bank_Core_Data!I13</f>
        <v>2078.4128483703353</v>
      </c>
      <c r="G13" s="3">
        <f>IF(A13=A12,Bank_Core_Data!E13/Bank_Core_Data!E12-1,"")</f>
        <v>5.600000000000005E-2</v>
      </c>
      <c r="H13" s="3">
        <f>IF(A13=A12,Bank_Core_Data!G13/Bank_Core_Data!G12-1,"")</f>
        <v>-6.7723342939481235E-2</v>
      </c>
      <c r="I13" t="s">
        <v>113</v>
      </c>
      <c r="J13" t="str">
        <f>Bank_Core_Data!J13&amp;" customer base; "&amp;Bank_Core_Data!K13&amp;" digital customers"</f>
        <v>Exact/Reported customer base; Reported digital customers</v>
      </c>
      <c r="K13" t="str">
        <f>Bank_Core_Data!D13</f>
        <v>Active customers</v>
      </c>
      <c r="L13" t="str">
        <f>Bank_Core_Data!F13</f>
        <v>Active digital banking users / digital users</v>
      </c>
    </row>
    <row r="14" spans="1:26">
      <c r="A14" t="str">
        <f>Bank_Core_Data!A14</f>
        <v>İşbank</v>
      </c>
      <c r="B14">
        <f>Bank_Core_Data!B14</f>
        <v>2021</v>
      </c>
      <c r="C14" s="3">
        <f>Bank_Core_Data!E14/Bank_Core_Data!C14</f>
        <v>0.49275362318840576</v>
      </c>
      <c r="D14" s="4">
        <f>Bank_Core_Data!E14*1000000/Bank_Core_Data!G14</f>
        <v>8688.2453151618392</v>
      </c>
      <c r="E14" s="4">
        <f>Bank_Core_Data!E14*1000000/Bank_Core_Data!H14</f>
        <v>447.32918165073238</v>
      </c>
      <c r="F14" s="4">
        <f>Bank_Core_Data!E14*1000000/Bank_Core_Data!I14</f>
        <v>1575.0463248919086</v>
      </c>
      <c r="G14" s="3"/>
      <c r="H14" s="3"/>
      <c r="I14" t="s">
        <v>113</v>
      </c>
      <c r="J14" t="str">
        <f>Bank_Core_Data!J14&amp;" customer base; "&amp;Bank_Core_Data!K14&amp;" digital customers"</f>
        <v>Reported customer base; Reported digital customers</v>
      </c>
      <c r="K14" t="str">
        <f>Bank_Core_Data!D14</f>
        <v>Total customers</v>
      </c>
      <c r="L14" t="str">
        <f>Bank_Core_Data!F14</f>
        <v>Digital banking customers</v>
      </c>
    </row>
    <row r="15" spans="1:26">
      <c r="A15" t="str">
        <f>Bank_Core_Data!A15</f>
        <v>İşbank</v>
      </c>
      <c r="B15">
        <f>Bank_Core_Data!B15</f>
        <v>2022</v>
      </c>
      <c r="C15" s="3">
        <f>Bank_Core_Data!E15/Bank_Core_Data!C15</f>
        <v>0.57017543859649122</v>
      </c>
      <c r="D15" s="4">
        <f>Bank_Core_Data!E15*1000000/Bank_Core_Data!G15</f>
        <v>11711.711711711712</v>
      </c>
      <c r="E15" s="4">
        <f>Bank_Core_Data!E15*1000000/Bank_Core_Data!H15</f>
        <v>557.72448410485219</v>
      </c>
      <c r="F15" s="4">
        <f>Bank_Core_Data!E15*1000000/Bank_Core_Data!I15</f>
        <v>2107.310747284811</v>
      </c>
      <c r="G15" s="3">
        <f>IF(A15=A14,Bank_Core_Data!E15/Bank_Core_Data!E14-1,"")</f>
        <v>0.27450980392156876</v>
      </c>
      <c r="H15" s="3">
        <f>IF(A15=A14,Bank_Core_Data!G15/Bank_Core_Data!G14-1,"")</f>
        <v>-5.4514480408858645E-2</v>
      </c>
      <c r="I15" t="s">
        <v>113</v>
      </c>
      <c r="J15" t="str">
        <f>Bank_Core_Data!J15&amp;" customer base; "&amp;Bank_Core_Data!K15&amp;" digital customers"</f>
        <v>Reported customer base; Reported digital customers</v>
      </c>
      <c r="K15" t="str">
        <f>Bank_Core_Data!D15</f>
        <v>Customers served</v>
      </c>
      <c r="L15" t="str">
        <f>Bank_Core_Data!F15</f>
        <v>Digital banking customers</v>
      </c>
    </row>
    <row r="16" spans="1:26">
      <c r="A16" t="str">
        <f>Bank_Core_Data!A16</f>
        <v>İşbank</v>
      </c>
      <c r="B16">
        <f>Bank_Core_Data!B16</f>
        <v>2023</v>
      </c>
      <c r="C16" s="3">
        <f>Bank_Core_Data!E16/Bank_Core_Data!C16</f>
        <v>0.61728395061728392</v>
      </c>
      <c r="D16" s="4">
        <f>Bank_Core_Data!E16*1000000/Bank_Core_Data!G16</f>
        <v>14071.294559099437</v>
      </c>
      <c r="E16" s="4">
        <f>Bank_Core_Data!E16*1000000/Bank_Core_Data!H16</f>
        <v>708.65025747626021</v>
      </c>
      <c r="F16" s="4">
        <f>Bank_Core_Data!E16*1000000/Bank_Core_Data!I16</f>
        <v>2376.4258555133079</v>
      </c>
      <c r="G16" s="3">
        <f>IF(A16=A15,Bank_Core_Data!E16/Bank_Core_Data!E15-1,"")</f>
        <v>0.15384615384615374</v>
      </c>
      <c r="H16" s="3">
        <f>IF(A16=A15,Bank_Core_Data!G16/Bank_Core_Data!G15-1,"")</f>
        <v>-3.9639639639639679E-2</v>
      </c>
      <c r="I16" t="s">
        <v>113</v>
      </c>
      <c r="J16" t="str">
        <f>Bank_Core_Data!J16&amp;" customer base; "&amp;Bank_Core_Data!K16&amp;" digital customers"</f>
        <v>Reported customer base; Approximate digital customers</v>
      </c>
      <c r="K16" t="str">
        <f>Bank_Core_Data!D16</f>
        <v>Customers served</v>
      </c>
      <c r="L16" t="str">
        <f>Bank_Core_Data!F16</f>
        <v>Approx. digital banking customers</v>
      </c>
    </row>
    <row r="17" spans="1:12">
      <c r="A17" t="str">
        <f>Bank_Core_Data!A17</f>
        <v>İşbank</v>
      </c>
      <c r="B17">
        <f>Bank_Core_Data!B17</f>
        <v>2024</v>
      </c>
      <c r="C17" s="3">
        <f>Bank_Core_Data!E17/Bank_Core_Data!C17</f>
        <v>0.66799999999999993</v>
      </c>
      <c r="D17" s="4">
        <f>Bank_Core_Data!E17*1000000/Bank_Core_Data!G17</f>
        <v>16501.97628458498</v>
      </c>
      <c r="E17" s="4">
        <f>Bank_Core_Data!E17*1000000/Bank_Core_Data!H17</f>
        <v>812.25680933852141</v>
      </c>
      <c r="F17" s="4">
        <f>Bank_Core_Data!E17*1000000/Bank_Core_Data!I17</f>
        <v>2570.8128078817736</v>
      </c>
      <c r="G17" s="3">
        <f>IF(A17=A16,Bank_Core_Data!E17/Bank_Core_Data!E16-1,"")</f>
        <v>0.11333333333333329</v>
      </c>
      <c r="H17" s="3">
        <f>IF(A17=A16,Bank_Core_Data!G17/Bank_Core_Data!G16-1,"")</f>
        <v>-5.0656660412757959E-2</v>
      </c>
      <c r="I17" t="s">
        <v>113</v>
      </c>
      <c r="J17" t="str">
        <f>Bank_Core_Data!J17&amp;" customer base; "&amp;Bank_Core_Data!K17&amp;" digital customers"</f>
        <v>Approximate customer base; Reported digital customers</v>
      </c>
      <c r="K17" t="str">
        <f>Bank_Core_Data!D17</f>
        <v>Approx. customers</v>
      </c>
      <c r="L17" t="str">
        <f>Bank_Core_Data!F17</f>
        <v>Digital banking customers</v>
      </c>
    </row>
    <row r="18" spans="1:12">
      <c r="A18" t="str">
        <f>Bank_Core_Data!A18</f>
        <v>İşbank</v>
      </c>
      <c r="B18">
        <f>Bank_Core_Data!B18</f>
        <v>2025</v>
      </c>
      <c r="C18" s="3">
        <f>Bank_Core_Data!E18/Bank_Core_Data!C18</f>
        <v>0.63529411764705879</v>
      </c>
      <c r="D18" s="4">
        <f>Bank_Core_Data!E18*1000000/Bank_Core_Data!G18</f>
        <v>16248.746238716149</v>
      </c>
      <c r="E18" s="4">
        <f>Bank_Core_Data!E18*1000000/Bank_Core_Data!H18</f>
        <v>785.2641783809986</v>
      </c>
      <c r="F18" s="4">
        <f>Bank_Core_Data!E18*1000000/Bank_Core_Data!I18</f>
        <v>2363.2385120350109</v>
      </c>
      <c r="G18" s="3">
        <f>IF(A18=A17,Bank_Core_Data!E18/Bank_Core_Data!E17-1,"")</f>
        <v>-2.9940119760479056E-2</v>
      </c>
      <c r="H18" s="3">
        <f>IF(A18=A17,Bank_Core_Data!G18/Bank_Core_Data!G17-1,"")</f>
        <v>-1.4822134387351804E-2</v>
      </c>
      <c r="I18" t="s">
        <v>113</v>
      </c>
      <c r="J18" t="str">
        <f>Bank_Core_Data!J18&amp;" customer base; "&amp;Bank_Core_Data!K18&amp;" digital customers"</f>
        <v>Proxy customer base; Reported digital customers</v>
      </c>
      <c r="K18" t="str">
        <f>Bank_Core_Data!D18</f>
        <v>Proxy: 22.7M retail + 2.8M commercial customers</v>
      </c>
      <c r="L18" t="str">
        <f>Bank_Core_Data!F18</f>
        <v>Customers actively using digital banking channels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zoomScaleNormal="100" zoomScaleSheetLayoutView="100" workbookViewId="0">
      <selection activeCell="K15" sqref="K15"/>
    </sheetView>
  </sheetViews>
  <sheetFormatPr defaultRowHeight="15"/>
  <cols>
    <col min="1" max="3" width="16" customWidth="1"/>
    <col min="4" max="4" width="23.25" customWidth="1"/>
    <col min="5" max="5" width="21.625" customWidth="1"/>
    <col min="6" max="6" width="24.125" customWidth="1"/>
    <col min="7" max="7" width="19.75" customWidth="1"/>
    <col min="8" max="8" width="29.625" customWidth="1"/>
    <col min="9" max="9" width="21.5" customWidth="1"/>
    <col min="10" max="10" width="45.125" customWidth="1"/>
    <col min="11" max="11" width="14.625" customWidth="1"/>
    <col min="12" max="12" width="13.875" customWidth="1"/>
    <col min="13" max="13" width="16.25" customWidth="1"/>
    <col min="14" max="14" width="11.25" customWidth="1"/>
    <col min="15" max="15" width="27.625" customWidth="1"/>
    <col min="16" max="16" width="4" customWidth="1"/>
    <col min="17" max="17" width="72.375" customWidth="1"/>
  </cols>
  <sheetData>
    <row r="1" spans="1:26" ht="24" customHeight="1">
      <c r="A1" s="17" t="s">
        <v>114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/>
      <c r="S3" s="1"/>
      <c r="T3" s="1"/>
      <c r="U3" s="1"/>
      <c r="V3" s="1"/>
      <c r="W3" s="1"/>
      <c r="X3" s="1"/>
      <c r="Y3" s="1"/>
      <c r="Z3" s="1"/>
    </row>
    <row r="4" spans="1:26">
      <c r="A4" t="s">
        <v>64</v>
      </c>
      <c r="B4" s="2">
        <f>Bank_Core_Data!C8</f>
        <v>30.141660000000002</v>
      </c>
      <c r="C4" s="2">
        <f>Bank_Core_Data!E8</f>
        <v>18.040749000000002</v>
      </c>
      <c r="D4" s="3">
        <f>Bank_Core_KPIs!C8</f>
        <v>0.59853203174609493</v>
      </c>
      <c r="E4" s="4">
        <f>Bank_Core_KPIs!D8</f>
        <v>22692.766037735848</v>
      </c>
      <c r="F4" s="4">
        <f>Bank_Core_KPIs!E8</f>
        <v>773.91570503195919</v>
      </c>
      <c r="G4" s="4">
        <f>Bank_Core_KPIs!F8</f>
        <v>2750.9528819762122</v>
      </c>
      <c r="H4" s="3">
        <f>Bank_Core_Data!E8/Bank_Core_Data!E4-1</f>
        <v>0.63410361272265336</v>
      </c>
      <c r="I4" s="3">
        <f>Bank_Core_Data!G8/Bank_Core_Data!G4-1</f>
        <v>-8.830275229357798E-2</v>
      </c>
      <c r="J4" t="str">
        <f>Bank_Core_KPIs!J8</f>
        <v>Exact customer base; Exact/Reported digital customers</v>
      </c>
      <c r="K4" s="5">
        <f>IF(MAX($D$4:$D$6)=MIN($D$4:$D$6),1,(D4-MIN($D$4:$D$6))/(MAX($D$4:$D$6)-MIN($D$4:$D$6)))</f>
        <v>0</v>
      </c>
      <c r="L4" s="5">
        <f>IF(MAX($E$4:$E$6)=MIN($E$4:$E$6),1,(E4-MIN($E$4:$E$6))/(MAX($E$4:$E$6)-MIN($E$4:$E$6)))</f>
        <v>1</v>
      </c>
      <c r="M4" s="5">
        <f>IF(MAX($F$4:$F$6)=MIN($F$4:$F$6),1,(F4-MIN($F$4:$F$6))/(MAX($F$4:$F$6)-MIN($F$4:$F$6)))</f>
        <v>0</v>
      </c>
      <c r="N4" s="5">
        <f>IF(MAX($H$4:$H$6)=MIN($H$4:$H$6),1,(H4-MIN($H$4:$H$6))/(MAX($H$4:$H$6)-MIN($H$4:$H$6)))</f>
        <v>0.11139448804072932</v>
      </c>
      <c r="O4" s="5">
        <f>100*(0.3*K4+0.3*L4+0.2*M4+0.2*N4)</f>
        <v>32.227889760814591</v>
      </c>
      <c r="P4" s="6" t="e">
        <f ca="1">_xludf.RANK.EQ(O4,$O$4:$O$6,0)</f>
        <v>#NAME?</v>
      </c>
      <c r="Q4" t="str">
        <f>"Directional score based on core comparable metrics only; mobile/app and POS excluded."</f>
        <v>Directional score based on core comparable metrics only; mobile/app and POS excluded.</v>
      </c>
    </row>
    <row r="5" spans="1:26">
      <c r="A5" t="s">
        <v>72</v>
      </c>
      <c r="B5" s="2">
        <f>Bank_Core_Data!C13</f>
        <v>15.2</v>
      </c>
      <c r="C5" s="2">
        <f>Bank_Core_Data!E13</f>
        <v>13.2</v>
      </c>
      <c r="D5" s="3">
        <f>Bank_Core_KPIs!C13</f>
        <v>0.86842105263157898</v>
      </c>
      <c r="E5" s="4">
        <f>Bank_Core_KPIs!D13</f>
        <v>20401.854714064913</v>
      </c>
      <c r="F5" s="4">
        <f>Bank_Core_KPIs!E13</f>
        <v>1048.367881820348</v>
      </c>
      <c r="G5" s="4">
        <f>Bank_Core_KPIs!F13</f>
        <v>2078.4128483703353</v>
      </c>
      <c r="H5" s="3">
        <f>Bank_Core_Data!E13/Bank_Core_Data!E9-1</f>
        <v>1</v>
      </c>
      <c r="I5" s="3">
        <f>Bank_Core_Data!G13/Bank_Core_Data!G9-1</f>
        <v>-9.0014064697608975E-2</v>
      </c>
      <c r="J5" t="str">
        <f>Bank_Core_KPIs!J13</f>
        <v>Exact/Reported customer base; Reported digital customers</v>
      </c>
      <c r="K5" s="5">
        <f>IF(MAX($D$4:$D$6)=MIN($D$4:$D$6),1,(D5-MIN($D$4:$D$6))/(MAX($D$4:$D$6)-MIN($D$4:$D$6)))</f>
        <v>1</v>
      </c>
      <c r="L5" s="5">
        <f>IF(MAX($E$4:$E$6)=MIN($E$4:$E$6),1,(E5-MIN($E$4:$E$6))/(MAX($E$4:$E$6)-MIN($E$4:$E$6)))</f>
        <v>0.64449033443077863</v>
      </c>
      <c r="M5" s="5">
        <f>IF(MAX($F$4:$F$6)=MIN($F$4:$F$6),1,(F5-MIN($F$4:$F$6))/(MAX($F$4:$F$6)-MIN($F$4:$F$6)))</f>
        <v>1</v>
      </c>
      <c r="N5" s="5">
        <f>IF(MAX($H$4:$H$6)=MIN($H$4:$H$6),1,(H5-MIN($H$4:$H$6))/(MAX($H$4:$H$6)-MIN($H$4:$H$6)))</f>
        <v>1</v>
      </c>
      <c r="O5" s="5">
        <f>100*(0.3*K5+0.3*L5+0.2*M5+0.2*N5)</f>
        <v>89.334710032923354</v>
      </c>
      <c r="P5" s="6" t="e">
        <f ca="1">_xludf.RANK.EQ(O5,$O$4:$O$6,0)</f>
        <v>#NAME?</v>
      </c>
      <c r="Q5" t="str">
        <f>"Directional score based on core comparable metrics only; mobile/app and POS excluded."</f>
        <v>Directional score based on core comparable metrics only; mobile/app and POS excluded.</v>
      </c>
    </row>
    <row r="6" spans="1:26">
      <c r="A6" t="s">
        <v>91</v>
      </c>
      <c r="B6" s="2">
        <f>Bank_Core_Data!C18</f>
        <v>25.5</v>
      </c>
      <c r="C6" s="2">
        <f>Bank_Core_Data!E18</f>
        <v>16.2</v>
      </c>
      <c r="D6" s="3">
        <f>Bank_Core_KPIs!C18</f>
        <v>0.63529411764705879</v>
      </c>
      <c r="E6" s="4">
        <f>Bank_Core_KPIs!D18</f>
        <v>16248.746238716149</v>
      </c>
      <c r="F6" s="4">
        <f>Bank_Core_KPIs!E18</f>
        <v>785.2641783809986</v>
      </c>
      <c r="G6" s="4">
        <f>Bank_Core_KPIs!F18</f>
        <v>2363.2385120350109</v>
      </c>
      <c r="H6" s="3">
        <f>Bank_Core_Data!E18/Bank_Core_Data!E14-1</f>
        <v>0.58823529411764719</v>
      </c>
      <c r="I6" s="3">
        <f>Bank_Core_Data!G18/Bank_Core_Data!G14-1</f>
        <v>-0.15076660988074952</v>
      </c>
      <c r="J6" t="str">
        <f>Bank_Core_KPIs!J18</f>
        <v>Proxy customer base; Reported digital customers</v>
      </c>
      <c r="K6" s="5">
        <f>IF(MAX($D$4:$D$6)=MIN($D$4:$D$6),1,(D6-MIN($D$4:$D$6))/(MAX($D$4:$D$6)-MIN($D$4:$D$6)))</f>
        <v>0.13621186138046826</v>
      </c>
      <c r="L6" s="5">
        <f>IF(MAX($E$4:$E$6)=MIN($E$4:$E$6),1,(E6-MIN($E$4:$E$6))/(MAX($E$4:$E$6)-MIN($E$4:$E$6)))</f>
        <v>0</v>
      </c>
      <c r="M6" s="5">
        <f>IF(MAX($F$4:$F$6)=MIN($F$4:$F$6),1,(F6-MIN($F$4:$F$6))/(MAX($F$4:$F$6)-MIN($F$4:$F$6)))</f>
        <v>4.1349547603659331E-2</v>
      </c>
      <c r="N6" s="5">
        <f>IF(MAX($H$4:$H$6)=MIN($H$4:$H$6),1,(H6-MIN($H$4:$H$6))/(MAX($H$4:$H$6)-MIN($H$4:$H$6)))</f>
        <v>0</v>
      </c>
      <c r="O6" s="5">
        <f>100*(0.3*K6+0.3*L6+0.2*M6+0.2*N6)</f>
        <v>4.9133467934872339</v>
      </c>
      <c r="P6" s="6" t="e">
        <f ca="1">_xludf.RANK.EQ(O6,$O$4:$O$6,0)</f>
        <v>#NAME?</v>
      </c>
      <c r="Q6" t="str">
        <f>"Directional score based on core comparable metrics only; mobile/app and POS excluded."</f>
        <v>Directional score based on core comparable metrics only; mobile/app and POS excluded.</v>
      </c>
    </row>
  </sheetData>
  <mergeCells count="1">
    <mergeCell ref="A1:Q1"/>
  </mergeCells>
  <conditionalFormatting sqref="O4:O6">
    <cfRule type="dataBar" priority="1">
      <dataBar>
        <cfvo type="min"/>
        <cfvo type="max"/>
        <color rgb="FF2F75B5"/>
      </dataBar>
    </cfRule>
  </conditionalFormatting>
  <conditionalFormatting sqref="J4:J6">
    <cfRule type="expression" dxfId="0" priority="2">
      <formula>ISNUMBER(SEARCH("Proxy",J4))</formula>
    </cfRule>
  </conditionalFormatting>
  <conditionalFormatting sqref="O4:O6"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{7B9A6034-B011-48D4-D147-5A5D4B0AF062}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9A6034-B011-48D4-D147-5A5D4B0AF062}">
            <x14:dataBar>
              <x14:cfvo type="min"/>
              <x14:cfvo type="max"/>
              <x14:negativeFillColor auto="1"/>
              <x14:axisColor auto="1"/>
            </x14:dataBar>
          </x14:cfRule>
          <xm:sqref>O4:O6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0"/>
  <sheetViews>
    <sheetView zoomScaleNormal="100" zoomScaleSheetLayoutView="100" workbookViewId="0">
      <selection activeCell="H2" sqref="H2"/>
    </sheetView>
  </sheetViews>
  <sheetFormatPr defaultRowHeight="15"/>
  <cols>
    <col min="1" max="1" width="16" customWidth="1"/>
    <col min="2" max="2" width="3.875" customWidth="1"/>
    <col min="3" max="3" width="32" customWidth="1"/>
    <col min="4" max="4" width="10.375" customWidth="1"/>
    <col min="5" max="5" width="14.125" customWidth="1"/>
    <col min="6" max="6" width="47.875" customWidth="1"/>
    <col min="7" max="7" width="11.5" customWidth="1"/>
    <col min="8" max="8" width="56.875" customWidth="1"/>
    <col min="9" max="9" width="18" customWidth="1"/>
  </cols>
  <sheetData>
    <row r="1" spans="1:26" ht="24" customHeight="1">
      <c r="A1" s="17" t="s">
        <v>115</v>
      </c>
      <c r="B1" s="17"/>
      <c r="C1" s="17"/>
      <c r="D1" s="17"/>
      <c r="E1" s="17"/>
      <c r="F1" s="17"/>
      <c r="G1" s="17"/>
      <c r="H1" s="17"/>
      <c r="I1" s="17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17</v>
      </c>
      <c r="B3" s="1" t="s">
        <v>35</v>
      </c>
      <c r="C3" s="1" t="s">
        <v>116</v>
      </c>
      <c r="D3" s="1" t="s">
        <v>117</v>
      </c>
      <c r="E3" s="1" t="s">
        <v>118</v>
      </c>
      <c r="F3" s="1" t="s">
        <v>119</v>
      </c>
      <c r="G3" s="1" t="s">
        <v>120</v>
      </c>
      <c r="H3" s="1" t="s">
        <v>121</v>
      </c>
      <c r="I3" s="1" t="s">
        <v>122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t="s">
        <v>64</v>
      </c>
      <c r="B4">
        <v>2021</v>
      </c>
      <c r="C4" t="s">
        <v>123</v>
      </c>
      <c r="D4">
        <v>10.608777</v>
      </c>
      <c r="E4" t="s">
        <v>124</v>
      </c>
      <c r="F4" t="s">
        <v>125</v>
      </c>
      <c r="G4" t="s">
        <v>126</v>
      </c>
      <c r="H4" t="s">
        <v>127</v>
      </c>
      <c r="I4" t="s">
        <v>128</v>
      </c>
    </row>
    <row r="5" spans="1:26">
      <c r="A5" t="s">
        <v>64</v>
      </c>
      <c r="B5">
        <v>2021</v>
      </c>
      <c r="C5" t="s">
        <v>129</v>
      </c>
      <c r="D5">
        <v>700616</v>
      </c>
      <c r="E5" t="s">
        <v>130</v>
      </c>
      <c r="F5" t="s">
        <v>125</v>
      </c>
      <c r="G5" t="s">
        <v>131</v>
      </c>
      <c r="H5" t="s">
        <v>132</v>
      </c>
      <c r="I5" t="s">
        <v>128</v>
      </c>
    </row>
    <row r="6" spans="1:26">
      <c r="A6" t="s">
        <v>64</v>
      </c>
      <c r="B6">
        <v>2022</v>
      </c>
      <c r="C6" t="s">
        <v>123</v>
      </c>
      <c r="D6">
        <v>13.032548999999999</v>
      </c>
      <c r="E6" t="s">
        <v>124</v>
      </c>
      <c r="F6" t="s">
        <v>125</v>
      </c>
      <c r="G6" t="s">
        <v>126</v>
      </c>
      <c r="H6" t="s">
        <v>127</v>
      </c>
      <c r="I6" t="s">
        <v>128</v>
      </c>
    </row>
    <row r="7" spans="1:26">
      <c r="A7" t="s">
        <v>64</v>
      </c>
      <c r="B7">
        <v>2022</v>
      </c>
      <c r="C7" t="s">
        <v>129</v>
      </c>
      <c r="D7">
        <v>777497</v>
      </c>
      <c r="E7" t="s">
        <v>130</v>
      </c>
      <c r="F7" t="s">
        <v>125</v>
      </c>
      <c r="G7" t="s">
        <v>131</v>
      </c>
      <c r="H7" t="s">
        <v>132</v>
      </c>
      <c r="I7" t="s">
        <v>128</v>
      </c>
    </row>
    <row r="8" spans="1:26">
      <c r="A8" t="s">
        <v>64</v>
      </c>
      <c r="B8">
        <v>2023</v>
      </c>
      <c r="C8" t="s">
        <v>123</v>
      </c>
      <c r="D8">
        <v>14.76862</v>
      </c>
      <c r="E8" t="s">
        <v>124</v>
      </c>
      <c r="F8" t="s">
        <v>125</v>
      </c>
      <c r="G8" t="s">
        <v>126</v>
      </c>
      <c r="H8" t="s">
        <v>127</v>
      </c>
      <c r="I8" t="s">
        <v>128</v>
      </c>
    </row>
    <row r="9" spans="1:26">
      <c r="A9" t="s">
        <v>64</v>
      </c>
      <c r="B9">
        <v>2023</v>
      </c>
      <c r="C9" t="s">
        <v>129</v>
      </c>
      <c r="D9">
        <v>808478</v>
      </c>
      <c r="E9" t="s">
        <v>130</v>
      </c>
      <c r="F9" t="s">
        <v>125</v>
      </c>
      <c r="G9" t="s">
        <v>131</v>
      </c>
      <c r="H9" t="s">
        <v>132</v>
      </c>
      <c r="I9" t="s">
        <v>128</v>
      </c>
    </row>
    <row r="10" spans="1:26">
      <c r="A10" t="s">
        <v>64</v>
      </c>
      <c r="B10">
        <v>2024</v>
      </c>
      <c r="C10" t="s">
        <v>123</v>
      </c>
      <c r="D10">
        <v>16.520118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</row>
    <row r="11" spans="1:26">
      <c r="A11" t="s">
        <v>64</v>
      </c>
      <c r="B11">
        <v>2024</v>
      </c>
      <c r="C11" t="s">
        <v>129</v>
      </c>
      <c r="D11">
        <v>864055</v>
      </c>
      <c r="E11" t="s">
        <v>130</v>
      </c>
      <c r="F11" t="s">
        <v>125</v>
      </c>
      <c r="G11" t="s">
        <v>131</v>
      </c>
      <c r="H11" t="s">
        <v>132</v>
      </c>
      <c r="I11" t="s">
        <v>128</v>
      </c>
    </row>
    <row r="12" spans="1:26">
      <c r="A12" t="s">
        <v>64</v>
      </c>
      <c r="B12">
        <v>2025</v>
      </c>
      <c r="C12" t="s">
        <v>123</v>
      </c>
      <c r="D12">
        <v>17.893336999999999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</row>
    <row r="13" spans="1:26">
      <c r="A13" t="s">
        <v>64</v>
      </c>
      <c r="B13">
        <v>2025</v>
      </c>
      <c r="C13" t="s">
        <v>129</v>
      </c>
      <c r="D13">
        <v>870653</v>
      </c>
      <c r="E13" t="s">
        <v>130</v>
      </c>
      <c r="F13" t="s">
        <v>125</v>
      </c>
      <c r="G13" t="s">
        <v>131</v>
      </c>
      <c r="H13" t="s">
        <v>132</v>
      </c>
      <c r="I13" t="s">
        <v>128</v>
      </c>
    </row>
    <row r="14" spans="1:26">
      <c r="A14" t="s">
        <v>72</v>
      </c>
      <c r="B14">
        <v>2021</v>
      </c>
      <c r="C14" t="s">
        <v>129</v>
      </c>
      <c r="D14">
        <v>680000</v>
      </c>
      <c r="E14" t="s">
        <v>130</v>
      </c>
      <c r="F14" t="s">
        <v>125</v>
      </c>
      <c r="G14" t="s">
        <v>131</v>
      </c>
      <c r="H14" t="s">
        <v>133</v>
      </c>
      <c r="I14" t="s">
        <v>128</v>
      </c>
    </row>
    <row r="15" spans="1:26">
      <c r="A15" t="s">
        <v>72</v>
      </c>
      <c r="B15">
        <v>2022</v>
      </c>
      <c r="C15" t="s">
        <v>129</v>
      </c>
      <c r="D15">
        <v>734000</v>
      </c>
      <c r="E15" t="s">
        <v>130</v>
      </c>
      <c r="F15" t="s">
        <v>125</v>
      </c>
      <c r="G15" t="s">
        <v>131</v>
      </c>
      <c r="H15" t="s">
        <v>133</v>
      </c>
      <c r="I15" t="s">
        <v>128</v>
      </c>
    </row>
    <row r="16" spans="1:26">
      <c r="A16" t="s">
        <v>72</v>
      </c>
      <c r="B16">
        <v>2023</v>
      </c>
      <c r="C16" t="s">
        <v>129</v>
      </c>
      <c r="D16">
        <v>771206</v>
      </c>
      <c r="E16" t="s">
        <v>130</v>
      </c>
      <c r="F16" t="s">
        <v>125</v>
      </c>
      <c r="G16" t="s">
        <v>131</v>
      </c>
      <c r="H16" t="s">
        <v>133</v>
      </c>
      <c r="I16" t="s">
        <v>128</v>
      </c>
    </row>
    <row r="17" spans="1:9">
      <c r="A17" t="s">
        <v>72</v>
      </c>
      <c r="B17">
        <v>2024</v>
      </c>
      <c r="C17" t="s">
        <v>129</v>
      </c>
      <c r="D17">
        <v>803588</v>
      </c>
      <c r="E17" t="s">
        <v>130</v>
      </c>
      <c r="F17" t="s">
        <v>125</v>
      </c>
      <c r="G17" t="s">
        <v>131</v>
      </c>
      <c r="H17" t="s">
        <v>133</v>
      </c>
      <c r="I17" t="s">
        <v>128</v>
      </c>
    </row>
    <row r="18" spans="1:9">
      <c r="A18" t="s">
        <v>72</v>
      </c>
      <c r="B18">
        <v>2025</v>
      </c>
      <c r="C18" t="s">
        <v>129</v>
      </c>
      <c r="D18">
        <v>818000</v>
      </c>
      <c r="E18" t="s">
        <v>130</v>
      </c>
      <c r="F18" t="s">
        <v>125</v>
      </c>
      <c r="G18" t="s">
        <v>131</v>
      </c>
      <c r="H18" t="s">
        <v>133</v>
      </c>
      <c r="I18" t="s">
        <v>128</v>
      </c>
    </row>
    <row r="19" spans="1:9">
      <c r="A19" t="s">
        <v>72</v>
      </c>
      <c r="B19">
        <v>2021</v>
      </c>
      <c r="C19" t="s">
        <v>134</v>
      </c>
      <c r="D19">
        <v>286398856</v>
      </c>
      <c r="E19" t="s">
        <v>130</v>
      </c>
      <c r="F19" t="s">
        <v>135</v>
      </c>
      <c r="G19" t="s">
        <v>131</v>
      </c>
      <c r="H19" t="s">
        <v>136</v>
      </c>
      <c r="I19" t="s">
        <v>128</v>
      </c>
    </row>
    <row r="20" spans="1:9">
      <c r="A20" t="s">
        <v>72</v>
      </c>
      <c r="B20">
        <v>2021</v>
      </c>
      <c r="C20" t="s">
        <v>137</v>
      </c>
      <c r="D20">
        <v>19108439</v>
      </c>
      <c r="E20" t="s">
        <v>130</v>
      </c>
      <c r="F20" t="s">
        <v>135</v>
      </c>
      <c r="G20" t="s">
        <v>131</v>
      </c>
      <c r="H20" t="s">
        <v>136</v>
      </c>
      <c r="I20" t="s">
        <v>128</v>
      </c>
    </row>
    <row r="21" spans="1:9">
      <c r="A21" t="s">
        <v>72</v>
      </c>
      <c r="B21">
        <v>2021</v>
      </c>
      <c r="C21" t="s">
        <v>138</v>
      </c>
      <c r="D21">
        <v>392507347</v>
      </c>
      <c r="E21" t="s">
        <v>130</v>
      </c>
      <c r="F21" t="s">
        <v>135</v>
      </c>
      <c r="G21" t="s">
        <v>131</v>
      </c>
      <c r="H21" t="s">
        <v>136</v>
      </c>
      <c r="I21" t="s">
        <v>128</v>
      </c>
    </row>
    <row r="22" spans="1:9">
      <c r="A22" t="s">
        <v>72</v>
      </c>
      <c r="B22">
        <v>2021</v>
      </c>
      <c r="C22" t="s">
        <v>139</v>
      </c>
      <c r="D22">
        <v>0.56231964687067415</v>
      </c>
      <c r="E22" t="s">
        <v>140</v>
      </c>
      <c r="F22" t="s">
        <v>141</v>
      </c>
      <c r="G22" t="s">
        <v>131</v>
      </c>
      <c r="H22" t="s">
        <v>142</v>
      </c>
      <c r="I22" t="s">
        <v>128</v>
      </c>
    </row>
    <row r="23" spans="1:9">
      <c r="A23" t="s">
        <v>72</v>
      </c>
      <c r="B23">
        <v>2022</v>
      </c>
      <c r="C23" t="s">
        <v>134</v>
      </c>
      <c r="D23">
        <v>314798356</v>
      </c>
      <c r="E23" t="s">
        <v>130</v>
      </c>
      <c r="F23" t="s">
        <v>135</v>
      </c>
      <c r="G23" t="s">
        <v>131</v>
      </c>
      <c r="H23" t="s">
        <v>136</v>
      </c>
      <c r="I23" t="s">
        <v>128</v>
      </c>
    </row>
    <row r="24" spans="1:9">
      <c r="A24" t="s">
        <v>72</v>
      </c>
      <c r="B24">
        <v>2022</v>
      </c>
      <c r="C24" t="s">
        <v>137</v>
      </c>
      <c r="D24">
        <v>18937680</v>
      </c>
      <c r="E24" t="s">
        <v>130</v>
      </c>
      <c r="F24" t="s">
        <v>135</v>
      </c>
      <c r="G24" t="s">
        <v>131</v>
      </c>
      <c r="H24" t="s">
        <v>136</v>
      </c>
      <c r="I24" t="s">
        <v>128</v>
      </c>
    </row>
    <row r="25" spans="1:9">
      <c r="A25" t="s">
        <v>72</v>
      </c>
      <c r="B25">
        <v>2022</v>
      </c>
      <c r="C25" t="s">
        <v>138</v>
      </c>
      <c r="D25">
        <v>603306385</v>
      </c>
      <c r="E25" t="s">
        <v>130</v>
      </c>
      <c r="F25" t="s">
        <v>135</v>
      </c>
      <c r="G25" t="s">
        <v>131</v>
      </c>
      <c r="H25" t="s">
        <v>136</v>
      </c>
      <c r="I25" t="s">
        <v>128</v>
      </c>
    </row>
    <row r="26" spans="1:9">
      <c r="A26" t="s">
        <v>72</v>
      </c>
      <c r="B26">
        <v>2022</v>
      </c>
      <c r="C26" t="s">
        <v>139</v>
      </c>
      <c r="D26">
        <v>0.64384105935797331</v>
      </c>
      <c r="E26" t="s">
        <v>140</v>
      </c>
      <c r="F26" t="s">
        <v>141</v>
      </c>
      <c r="G26" t="s">
        <v>131</v>
      </c>
      <c r="H26" t="s">
        <v>142</v>
      </c>
      <c r="I26" t="s">
        <v>128</v>
      </c>
    </row>
    <row r="27" spans="1:9">
      <c r="A27" t="s">
        <v>72</v>
      </c>
      <c r="B27">
        <v>2023</v>
      </c>
      <c r="C27" t="s">
        <v>134</v>
      </c>
      <c r="D27">
        <v>247620321</v>
      </c>
      <c r="E27" t="s">
        <v>130</v>
      </c>
      <c r="F27" t="s">
        <v>135</v>
      </c>
      <c r="G27" t="s">
        <v>131</v>
      </c>
      <c r="H27" t="s">
        <v>136</v>
      </c>
      <c r="I27" t="s">
        <v>128</v>
      </c>
    </row>
    <row r="28" spans="1:9">
      <c r="A28" t="s">
        <v>72</v>
      </c>
      <c r="B28">
        <v>2023</v>
      </c>
      <c r="C28" t="s">
        <v>137</v>
      </c>
      <c r="D28">
        <v>22265243</v>
      </c>
      <c r="E28" t="s">
        <v>130</v>
      </c>
      <c r="F28" t="s">
        <v>135</v>
      </c>
      <c r="G28" t="s">
        <v>131</v>
      </c>
      <c r="H28" t="s">
        <v>136</v>
      </c>
      <c r="I28" t="s">
        <v>128</v>
      </c>
    </row>
    <row r="29" spans="1:9">
      <c r="A29" t="s">
        <v>72</v>
      </c>
      <c r="B29">
        <v>2023</v>
      </c>
      <c r="C29" t="s">
        <v>138</v>
      </c>
      <c r="D29">
        <v>872347265</v>
      </c>
      <c r="E29" t="s">
        <v>130</v>
      </c>
      <c r="F29" t="s">
        <v>135</v>
      </c>
      <c r="G29" t="s">
        <v>131</v>
      </c>
      <c r="H29" t="s">
        <v>136</v>
      </c>
      <c r="I29" t="s">
        <v>128</v>
      </c>
    </row>
    <row r="30" spans="1:9">
      <c r="A30" t="s">
        <v>72</v>
      </c>
      <c r="B30">
        <v>2023</v>
      </c>
      <c r="C30" t="s">
        <v>139</v>
      </c>
      <c r="D30">
        <v>0.7637210583097328</v>
      </c>
      <c r="E30" t="s">
        <v>140</v>
      </c>
      <c r="F30" t="s">
        <v>141</v>
      </c>
      <c r="G30" t="s">
        <v>131</v>
      </c>
      <c r="H30" t="s">
        <v>142</v>
      </c>
      <c r="I30" t="s">
        <v>128</v>
      </c>
    </row>
    <row r="31" spans="1:9">
      <c r="A31" t="s">
        <v>72</v>
      </c>
      <c r="B31">
        <v>2024</v>
      </c>
      <c r="C31" t="s">
        <v>134</v>
      </c>
      <c r="D31">
        <v>265500432</v>
      </c>
      <c r="E31" t="s">
        <v>130</v>
      </c>
      <c r="F31" t="s">
        <v>135</v>
      </c>
      <c r="G31" t="s">
        <v>131</v>
      </c>
      <c r="H31" t="s">
        <v>136</v>
      </c>
      <c r="I31" t="s">
        <v>128</v>
      </c>
    </row>
    <row r="32" spans="1:9">
      <c r="A32" t="s">
        <v>72</v>
      </c>
      <c r="B32">
        <v>2024</v>
      </c>
      <c r="C32" t="s">
        <v>137</v>
      </c>
      <c r="D32">
        <v>19052867</v>
      </c>
      <c r="E32" t="s">
        <v>130</v>
      </c>
      <c r="F32" t="s">
        <v>135</v>
      </c>
      <c r="G32" t="s">
        <v>131</v>
      </c>
      <c r="H32" t="s">
        <v>136</v>
      </c>
      <c r="I32" t="s">
        <v>128</v>
      </c>
    </row>
    <row r="33" spans="1:9">
      <c r="A33" t="s">
        <v>72</v>
      </c>
      <c r="B33">
        <v>2024</v>
      </c>
      <c r="C33" t="s">
        <v>138</v>
      </c>
      <c r="D33">
        <v>1059327926</v>
      </c>
      <c r="E33" t="s">
        <v>130</v>
      </c>
      <c r="F33" t="s">
        <v>135</v>
      </c>
      <c r="G33" t="s">
        <v>131</v>
      </c>
      <c r="H33" t="s">
        <v>136</v>
      </c>
      <c r="I33" t="s">
        <v>128</v>
      </c>
    </row>
    <row r="34" spans="1:9">
      <c r="A34" t="s">
        <v>72</v>
      </c>
      <c r="B34">
        <v>2024</v>
      </c>
      <c r="C34" t="s">
        <v>139</v>
      </c>
      <c r="D34">
        <v>0.78826008302928707</v>
      </c>
      <c r="E34" t="s">
        <v>140</v>
      </c>
      <c r="F34" t="s">
        <v>141</v>
      </c>
      <c r="G34" t="s">
        <v>131</v>
      </c>
      <c r="H34" t="s">
        <v>142</v>
      </c>
      <c r="I34" t="s">
        <v>128</v>
      </c>
    </row>
    <row r="35" spans="1:9">
      <c r="A35" t="s">
        <v>72</v>
      </c>
      <c r="B35">
        <v>2025</v>
      </c>
      <c r="C35" t="s">
        <v>134</v>
      </c>
      <c r="D35">
        <v>253100231</v>
      </c>
      <c r="E35" t="s">
        <v>130</v>
      </c>
      <c r="F35" t="s">
        <v>135</v>
      </c>
      <c r="G35" t="s">
        <v>131</v>
      </c>
      <c r="H35" t="s">
        <v>136</v>
      </c>
      <c r="I35" t="s">
        <v>128</v>
      </c>
    </row>
    <row r="36" spans="1:9">
      <c r="A36" t="s">
        <v>72</v>
      </c>
      <c r="B36">
        <v>2025</v>
      </c>
      <c r="C36" t="s">
        <v>137</v>
      </c>
      <c r="D36">
        <v>18083340</v>
      </c>
      <c r="E36" t="s">
        <v>130</v>
      </c>
      <c r="F36" t="s">
        <v>135</v>
      </c>
      <c r="G36" t="s">
        <v>131</v>
      </c>
      <c r="H36" t="s">
        <v>136</v>
      </c>
      <c r="I36" t="s">
        <v>128</v>
      </c>
    </row>
    <row r="37" spans="1:9">
      <c r="A37" t="s">
        <v>72</v>
      </c>
      <c r="B37">
        <v>2025</v>
      </c>
      <c r="C37" t="s">
        <v>138</v>
      </c>
      <c r="D37">
        <v>1103080689</v>
      </c>
      <c r="E37" t="s">
        <v>130</v>
      </c>
      <c r="F37" t="s">
        <v>135</v>
      </c>
      <c r="G37" t="s">
        <v>131</v>
      </c>
      <c r="H37" t="s">
        <v>136</v>
      </c>
      <c r="I37" t="s">
        <v>128</v>
      </c>
    </row>
    <row r="38" spans="1:9">
      <c r="A38" t="s">
        <v>72</v>
      </c>
      <c r="B38">
        <v>2025</v>
      </c>
      <c r="C38" t="s">
        <v>139</v>
      </c>
      <c r="D38">
        <v>0.80266999667152805</v>
      </c>
      <c r="E38" t="s">
        <v>140</v>
      </c>
      <c r="F38" t="s">
        <v>141</v>
      </c>
      <c r="G38" t="s">
        <v>131</v>
      </c>
      <c r="H38" t="s">
        <v>142</v>
      </c>
      <c r="I38" t="s">
        <v>128</v>
      </c>
    </row>
    <row r="39" spans="1:9">
      <c r="A39" t="s">
        <v>72</v>
      </c>
      <c r="B39">
        <v>2021</v>
      </c>
      <c r="C39" t="s">
        <v>143</v>
      </c>
      <c r="D39">
        <v>84</v>
      </c>
      <c r="E39" t="s">
        <v>144</v>
      </c>
      <c r="F39" t="s">
        <v>145</v>
      </c>
      <c r="G39" t="s">
        <v>146</v>
      </c>
      <c r="H39" t="s">
        <v>147</v>
      </c>
      <c r="I39" t="s">
        <v>128</v>
      </c>
    </row>
    <row r="40" spans="1:9">
      <c r="A40" t="s">
        <v>72</v>
      </c>
      <c r="B40">
        <v>2022</v>
      </c>
      <c r="C40" t="s">
        <v>143</v>
      </c>
      <c r="D40">
        <v>82</v>
      </c>
      <c r="E40" t="s">
        <v>144</v>
      </c>
      <c r="F40" t="s">
        <v>145</v>
      </c>
      <c r="G40" t="s">
        <v>146</v>
      </c>
      <c r="H40" t="s">
        <v>147</v>
      </c>
      <c r="I40" t="s">
        <v>128</v>
      </c>
    </row>
    <row r="41" spans="1:9">
      <c r="A41" t="s">
        <v>72</v>
      </c>
      <c r="B41">
        <v>2023</v>
      </c>
      <c r="C41" t="s">
        <v>143</v>
      </c>
      <c r="D41">
        <v>90</v>
      </c>
      <c r="E41" t="s">
        <v>144</v>
      </c>
      <c r="F41" t="s">
        <v>145</v>
      </c>
      <c r="G41" t="s">
        <v>146</v>
      </c>
      <c r="H41" t="s">
        <v>147</v>
      </c>
      <c r="I41" t="s">
        <v>128</v>
      </c>
    </row>
    <row r="42" spans="1:9">
      <c r="A42" t="s">
        <v>72</v>
      </c>
      <c r="B42">
        <v>2021</v>
      </c>
      <c r="C42" t="s">
        <v>148</v>
      </c>
      <c r="D42">
        <v>52</v>
      </c>
      <c r="E42" t="s">
        <v>144</v>
      </c>
      <c r="F42" t="s">
        <v>145</v>
      </c>
      <c r="G42" t="s">
        <v>146</v>
      </c>
      <c r="H42" t="s">
        <v>147</v>
      </c>
      <c r="I42" t="s">
        <v>128</v>
      </c>
    </row>
    <row r="43" spans="1:9">
      <c r="A43" t="s">
        <v>72</v>
      </c>
      <c r="B43">
        <v>2022</v>
      </c>
      <c r="C43" t="s">
        <v>148</v>
      </c>
      <c r="D43">
        <v>54</v>
      </c>
      <c r="E43" t="s">
        <v>144</v>
      </c>
      <c r="F43" t="s">
        <v>145</v>
      </c>
      <c r="G43" t="s">
        <v>146</v>
      </c>
      <c r="H43" t="s">
        <v>147</v>
      </c>
      <c r="I43" t="s">
        <v>128</v>
      </c>
    </row>
    <row r="44" spans="1:9">
      <c r="A44" t="s">
        <v>72</v>
      </c>
      <c r="B44">
        <v>2023</v>
      </c>
      <c r="C44" t="s">
        <v>148</v>
      </c>
      <c r="D44">
        <v>70</v>
      </c>
      <c r="E44" t="s">
        <v>144</v>
      </c>
      <c r="F44" t="s">
        <v>145</v>
      </c>
      <c r="G44" t="s">
        <v>146</v>
      </c>
      <c r="H44" t="s">
        <v>147</v>
      </c>
      <c r="I44" t="s">
        <v>128</v>
      </c>
    </row>
    <row r="45" spans="1:9">
      <c r="A45" t="s">
        <v>72</v>
      </c>
      <c r="B45">
        <v>2025</v>
      </c>
      <c r="C45" t="s">
        <v>149</v>
      </c>
      <c r="D45">
        <v>95</v>
      </c>
      <c r="E45" t="s">
        <v>144</v>
      </c>
      <c r="F45" t="s">
        <v>150</v>
      </c>
      <c r="G45" t="s">
        <v>146</v>
      </c>
      <c r="H45" t="s">
        <v>151</v>
      </c>
      <c r="I45" t="s">
        <v>128</v>
      </c>
    </row>
    <row r="46" spans="1:9">
      <c r="A46" t="s">
        <v>72</v>
      </c>
      <c r="B46">
        <v>2025</v>
      </c>
      <c r="C46" t="s">
        <v>152</v>
      </c>
      <c r="D46">
        <v>30</v>
      </c>
      <c r="E46" t="s">
        <v>153</v>
      </c>
      <c r="F46" t="s">
        <v>154</v>
      </c>
      <c r="G46" t="s">
        <v>146</v>
      </c>
      <c r="H46" t="s">
        <v>155</v>
      </c>
      <c r="I46" t="s">
        <v>128</v>
      </c>
    </row>
    <row r="47" spans="1:9">
      <c r="A47" t="s">
        <v>72</v>
      </c>
      <c r="B47">
        <v>2025</v>
      </c>
      <c r="C47" t="s">
        <v>156</v>
      </c>
      <c r="D47">
        <v>80</v>
      </c>
      <c r="E47" t="s">
        <v>144</v>
      </c>
      <c r="F47" t="s">
        <v>145</v>
      </c>
      <c r="G47" t="s">
        <v>146</v>
      </c>
      <c r="H47" t="s">
        <v>157</v>
      </c>
      <c r="I47" t="s">
        <v>128</v>
      </c>
    </row>
    <row r="48" spans="1:9">
      <c r="A48" t="s">
        <v>91</v>
      </c>
      <c r="B48">
        <v>2021</v>
      </c>
      <c r="C48" t="s">
        <v>158</v>
      </c>
      <c r="D48">
        <v>10</v>
      </c>
      <c r="E48" t="s">
        <v>159</v>
      </c>
      <c r="F48" t="s">
        <v>125</v>
      </c>
      <c r="G48" t="s">
        <v>131</v>
      </c>
      <c r="H48" t="s">
        <v>160</v>
      </c>
      <c r="I48" t="s">
        <v>128</v>
      </c>
    </row>
    <row r="49" spans="1:9">
      <c r="A49" t="s">
        <v>91</v>
      </c>
      <c r="B49">
        <v>2021</v>
      </c>
      <c r="C49" t="s">
        <v>161</v>
      </c>
      <c r="D49">
        <v>570212</v>
      </c>
      <c r="E49" t="s">
        <v>130</v>
      </c>
      <c r="F49" t="s">
        <v>125</v>
      </c>
      <c r="G49" t="s">
        <v>131</v>
      </c>
      <c r="H49" t="s">
        <v>162</v>
      </c>
      <c r="I49" t="s">
        <v>128</v>
      </c>
    </row>
    <row r="50" spans="1:9">
      <c r="A50" t="s">
        <v>91</v>
      </c>
      <c r="B50">
        <v>2021</v>
      </c>
      <c r="C50" t="s">
        <v>163</v>
      </c>
      <c r="D50">
        <v>95.6</v>
      </c>
      <c r="E50" t="s">
        <v>144</v>
      </c>
      <c r="F50" t="s">
        <v>164</v>
      </c>
      <c r="G50" t="s">
        <v>131</v>
      </c>
      <c r="H50" t="s">
        <v>165</v>
      </c>
      <c r="I50" t="s">
        <v>128</v>
      </c>
    </row>
    <row r="51" spans="1:9">
      <c r="A51" t="s">
        <v>91</v>
      </c>
      <c r="B51">
        <v>2022</v>
      </c>
      <c r="C51" t="s">
        <v>158</v>
      </c>
      <c r="D51">
        <v>11.9</v>
      </c>
      <c r="E51" t="s">
        <v>159</v>
      </c>
      <c r="F51" t="s">
        <v>125</v>
      </c>
      <c r="G51" t="s">
        <v>131</v>
      </c>
      <c r="H51" t="s">
        <v>160</v>
      </c>
      <c r="I51" t="s">
        <v>128</v>
      </c>
    </row>
    <row r="52" spans="1:9">
      <c r="A52" t="s">
        <v>91</v>
      </c>
      <c r="B52">
        <v>2022</v>
      </c>
      <c r="C52" t="s">
        <v>161</v>
      </c>
      <c r="D52">
        <v>611429</v>
      </c>
      <c r="E52" t="s">
        <v>130</v>
      </c>
      <c r="F52" t="s">
        <v>125</v>
      </c>
      <c r="G52" t="s">
        <v>131</v>
      </c>
      <c r="H52" t="s">
        <v>162</v>
      </c>
      <c r="I52" t="s">
        <v>128</v>
      </c>
    </row>
    <row r="53" spans="1:9">
      <c r="A53" t="s">
        <v>91</v>
      </c>
      <c r="B53">
        <v>2022</v>
      </c>
      <c r="C53" t="s">
        <v>163</v>
      </c>
      <c r="D53">
        <v>96.2</v>
      </c>
      <c r="E53" t="s">
        <v>144</v>
      </c>
      <c r="F53" t="s">
        <v>164</v>
      </c>
      <c r="G53" t="s">
        <v>131</v>
      </c>
      <c r="H53" t="s">
        <v>165</v>
      </c>
      <c r="I53" t="s">
        <v>128</v>
      </c>
    </row>
    <row r="54" spans="1:9">
      <c r="A54" t="s">
        <v>91</v>
      </c>
      <c r="B54">
        <v>2023</v>
      </c>
      <c r="C54" t="s">
        <v>158</v>
      </c>
      <c r="D54">
        <v>13.7</v>
      </c>
      <c r="E54" t="s">
        <v>159</v>
      </c>
      <c r="F54" t="s">
        <v>125</v>
      </c>
      <c r="G54" t="s">
        <v>131</v>
      </c>
      <c r="H54" t="s">
        <v>160</v>
      </c>
      <c r="I54" t="s">
        <v>128</v>
      </c>
    </row>
    <row r="55" spans="1:9">
      <c r="A55" t="s">
        <v>91</v>
      </c>
      <c r="B55">
        <v>2023</v>
      </c>
      <c r="C55" t="s">
        <v>161</v>
      </c>
      <c r="D55">
        <v>660375</v>
      </c>
      <c r="E55" t="s">
        <v>130</v>
      </c>
      <c r="F55" t="s">
        <v>125</v>
      </c>
      <c r="G55" t="s">
        <v>131</v>
      </c>
      <c r="H55" t="s">
        <v>162</v>
      </c>
      <c r="I55" t="s">
        <v>128</v>
      </c>
    </row>
    <row r="56" spans="1:9">
      <c r="A56" t="s">
        <v>91</v>
      </c>
      <c r="B56">
        <v>2023</v>
      </c>
      <c r="C56" t="s">
        <v>163</v>
      </c>
      <c r="D56">
        <v>97</v>
      </c>
      <c r="E56" t="s">
        <v>144</v>
      </c>
      <c r="F56" t="s">
        <v>164</v>
      </c>
      <c r="G56" t="s">
        <v>131</v>
      </c>
      <c r="H56" t="s">
        <v>165</v>
      </c>
      <c r="I56" t="s">
        <v>128</v>
      </c>
    </row>
    <row r="57" spans="1:9">
      <c r="A57" t="s">
        <v>91</v>
      </c>
      <c r="B57">
        <v>2024</v>
      </c>
      <c r="C57" t="s">
        <v>158</v>
      </c>
      <c r="D57">
        <v>15.2</v>
      </c>
      <c r="E57" t="s">
        <v>159</v>
      </c>
      <c r="F57" t="s">
        <v>125</v>
      </c>
      <c r="G57" t="s">
        <v>131</v>
      </c>
      <c r="H57" t="s">
        <v>160</v>
      </c>
      <c r="I57" t="s">
        <v>128</v>
      </c>
    </row>
    <row r="58" spans="1:9">
      <c r="A58" t="s">
        <v>91</v>
      </c>
      <c r="B58">
        <v>2024</v>
      </c>
      <c r="C58" t="s">
        <v>161</v>
      </c>
      <c r="D58">
        <v>671000</v>
      </c>
      <c r="E58" t="s">
        <v>130</v>
      </c>
      <c r="F58" t="s">
        <v>125</v>
      </c>
      <c r="G58" t="s">
        <v>131</v>
      </c>
      <c r="H58" t="s">
        <v>162</v>
      </c>
      <c r="I58" t="s">
        <v>128</v>
      </c>
    </row>
    <row r="59" spans="1:9">
      <c r="A59" t="s">
        <v>91</v>
      </c>
      <c r="B59">
        <v>2024</v>
      </c>
      <c r="C59" t="s">
        <v>163</v>
      </c>
      <c r="D59">
        <v>97</v>
      </c>
      <c r="E59" t="s">
        <v>144</v>
      </c>
      <c r="F59" t="s">
        <v>164</v>
      </c>
      <c r="G59" t="s">
        <v>131</v>
      </c>
      <c r="H59" t="s">
        <v>165</v>
      </c>
      <c r="I59" t="s">
        <v>128</v>
      </c>
    </row>
    <row r="60" spans="1:9">
      <c r="A60" t="s">
        <v>91</v>
      </c>
      <c r="B60">
        <v>2025</v>
      </c>
      <c r="C60" t="s">
        <v>158</v>
      </c>
      <c r="D60">
        <v>15.9</v>
      </c>
      <c r="E60" t="s">
        <v>159</v>
      </c>
      <c r="F60" t="s">
        <v>125</v>
      </c>
      <c r="G60" t="s">
        <v>131</v>
      </c>
      <c r="H60" t="s">
        <v>160</v>
      </c>
      <c r="I60" t="s">
        <v>128</v>
      </c>
    </row>
    <row r="61" spans="1:9">
      <c r="A61" t="s">
        <v>91</v>
      </c>
      <c r="B61">
        <v>2025</v>
      </c>
      <c r="C61" t="s">
        <v>161</v>
      </c>
      <c r="D61">
        <v>602000</v>
      </c>
      <c r="E61" t="s">
        <v>130</v>
      </c>
      <c r="F61" t="s">
        <v>125</v>
      </c>
      <c r="G61" t="s">
        <v>131</v>
      </c>
      <c r="H61" t="s">
        <v>162</v>
      </c>
      <c r="I61" t="s">
        <v>128</v>
      </c>
    </row>
    <row r="62" spans="1:9">
      <c r="A62" t="s">
        <v>91</v>
      </c>
      <c r="B62">
        <v>2025</v>
      </c>
      <c r="C62" t="s">
        <v>163</v>
      </c>
      <c r="D62">
        <v>96.5</v>
      </c>
      <c r="E62" t="s">
        <v>144</v>
      </c>
      <c r="F62" t="s">
        <v>164</v>
      </c>
      <c r="G62" t="s">
        <v>131</v>
      </c>
      <c r="H62" t="s">
        <v>165</v>
      </c>
      <c r="I62" t="s">
        <v>128</v>
      </c>
    </row>
    <row r="63" spans="1:9">
      <c r="A63" t="s">
        <v>91</v>
      </c>
      <c r="B63">
        <v>2022</v>
      </c>
      <c r="C63" t="s">
        <v>166</v>
      </c>
      <c r="D63">
        <v>73.2</v>
      </c>
      <c r="E63" t="s">
        <v>144</v>
      </c>
      <c r="F63" t="s">
        <v>167</v>
      </c>
      <c r="G63" t="s">
        <v>131</v>
      </c>
      <c r="H63" t="s">
        <v>168</v>
      </c>
      <c r="I63" t="s">
        <v>128</v>
      </c>
    </row>
    <row r="64" spans="1:9">
      <c r="A64" t="s">
        <v>91</v>
      </c>
      <c r="B64">
        <v>2023</v>
      </c>
      <c r="C64" t="s">
        <v>166</v>
      </c>
      <c r="D64">
        <v>75.260000000000005</v>
      </c>
      <c r="E64" t="s">
        <v>144</v>
      </c>
      <c r="F64" t="s">
        <v>167</v>
      </c>
      <c r="G64" t="s">
        <v>131</v>
      </c>
      <c r="H64" t="s">
        <v>168</v>
      </c>
      <c r="I64" t="s">
        <v>128</v>
      </c>
    </row>
    <row r="65" spans="1:9">
      <c r="A65" t="s">
        <v>91</v>
      </c>
      <c r="B65">
        <v>2024</v>
      </c>
      <c r="C65" t="s">
        <v>166</v>
      </c>
      <c r="D65">
        <v>77.8</v>
      </c>
      <c r="E65" t="s">
        <v>144</v>
      </c>
      <c r="F65" t="s">
        <v>167</v>
      </c>
      <c r="G65" t="s">
        <v>131</v>
      </c>
      <c r="H65" t="s">
        <v>168</v>
      </c>
      <c r="I65" t="s">
        <v>128</v>
      </c>
    </row>
    <row r="66" spans="1:9">
      <c r="A66" t="s">
        <v>91</v>
      </c>
      <c r="B66">
        <v>2021</v>
      </c>
      <c r="C66" t="s">
        <v>169</v>
      </c>
      <c r="D66">
        <v>94.6</v>
      </c>
      <c r="E66" t="s">
        <v>144</v>
      </c>
      <c r="F66" t="s">
        <v>150</v>
      </c>
      <c r="G66" t="s">
        <v>131</v>
      </c>
      <c r="H66" t="s">
        <v>170</v>
      </c>
      <c r="I66" t="s">
        <v>128</v>
      </c>
    </row>
    <row r="67" spans="1:9">
      <c r="A67" t="s">
        <v>91</v>
      </c>
      <c r="B67">
        <v>2021</v>
      </c>
      <c r="C67" t="s">
        <v>171</v>
      </c>
      <c r="D67">
        <v>62.7</v>
      </c>
      <c r="E67" t="s">
        <v>144</v>
      </c>
      <c r="F67" t="s">
        <v>145</v>
      </c>
      <c r="G67" t="s">
        <v>131</v>
      </c>
      <c r="H67" t="s">
        <v>172</v>
      </c>
      <c r="I67" t="s">
        <v>128</v>
      </c>
    </row>
    <row r="68" spans="1:9">
      <c r="A68" t="s">
        <v>91</v>
      </c>
      <c r="B68">
        <v>2023</v>
      </c>
      <c r="C68" t="s">
        <v>173</v>
      </c>
      <c r="D68">
        <v>3</v>
      </c>
      <c r="E68" t="s">
        <v>159</v>
      </c>
      <c r="F68" t="s">
        <v>174</v>
      </c>
      <c r="G68" t="s">
        <v>146</v>
      </c>
      <c r="H68" t="s">
        <v>175</v>
      </c>
      <c r="I68" t="s">
        <v>128</v>
      </c>
    </row>
    <row r="69" spans="1:9">
      <c r="A69" t="s">
        <v>91</v>
      </c>
      <c r="B69">
        <v>2024</v>
      </c>
      <c r="C69" t="s">
        <v>173</v>
      </c>
      <c r="D69">
        <v>4.5</v>
      </c>
      <c r="E69" t="s">
        <v>159</v>
      </c>
      <c r="F69" t="s">
        <v>174</v>
      </c>
      <c r="G69" t="s">
        <v>146</v>
      </c>
      <c r="H69" t="s">
        <v>175</v>
      </c>
      <c r="I69" t="s">
        <v>128</v>
      </c>
    </row>
    <row r="70" spans="1:9">
      <c r="A70" t="s">
        <v>91</v>
      </c>
      <c r="B70">
        <v>2025</v>
      </c>
      <c r="C70" t="s">
        <v>176</v>
      </c>
      <c r="D70">
        <v>121363</v>
      </c>
      <c r="E70" t="s">
        <v>130</v>
      </c>
      <c r="F70" t="s">
        <v>177</v>
      </c>
      <c r="G70" t="s">
        <v>146</v>
      </c>
      <c r="H70" t="s">
        <v>178</v>
      </c>
      <c r="I70" t="s">
        <v>128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2"/>
  <sheetViews>
    <sheetView zoomScaleNormal="100" zoomScaleSheetLayoutView="100" workbookViewId="0">
      <selection activeCell="C16" sqref="C16"/>
    </sheetView>
  </sheetViews>
  <sheetFormatPr defaultRowHeight="15"/>
  <cols>
    <col min="1" max="1" width="22" customWidth="1"/>
    <col min="2" max="2" width="47.625" customWidth="1"/>
    <col min="3" max="3" width="114.25" customWidth="1"/>
  </cols>
  <sheetData>
    <row r="1" spans="1:26" ht="24" customHeight="1">
      <c r="A1" s="17" t="s">
        <v>179</v>
      </c>
      <c r="B1" s="17"/>
      <c r="C1" s="17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180</v>
      </c>
      <c r="B3" s="1" t="s">
        <v>181</v>
      </c>
      <c r="C3" s="1" t="s">
        <v>182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t="s">
        <v>183</v>
      </c>
      <c r="B4" t="s">
        <v>184</v>
      </c>
      <c r="C4" t="s">
        <v>185</v>
      </c>
    </row>
    <row r="5" spans="1:26">
      <c r="A5" t="s">
        <v>186</v>
      </c>
      <c r="B5" t="s">
        <v>184</v>
      </c>
      <c r="C5" t="s">
        <v>187</v>
      </c>
    </row>
    <row r="6" spans="1:26">
      <c r="A6" t="s">
        <v>188</v>
      </c>
      <c r="B6" t="s">
        <v>189</v>
      </c>
      <c r="C6" t="s">
        <v>190</v>
      </c>
    </row>
    <row r="7" spans="1:26">
      <c r="A7" t="s">
        <v>191</v>
      </c>
      <c r="B7" t="s">
        <v>192</v>
      </c>
      <c r="C7" t="s">
        <v>193</v>
      </c>
    </row>
    <row r="8" spans="1:26">
      <c r="A8" t="s">
        <v>194</v>
      </c>
      <c r="B8" t="s">
        <v>195</v>
      </c>
      <c r="C8" t="s">
        <v>196</v>
      </c>
    </row>
    <row r="9" spans="1:26">
      <c r="A9" t="s">
        <v>197</v>
      </c>
      <c r="B9" t="s">
        <v>198</v>
      </c>
      <c r="C9" t="s">
        <v>199</v>
      </c>
    </row>
    <row r="10" spans="1:26">
      <c r="A10" t="s">
        <v>200</v>
      </c>
      <c r="B10" t="s">
        <v>201</v>
      </c>
      <c r="C10" t="s">
        <v>202</v>
      </c>
    </row>
    <row r="11" spans="1:26">
      <c r="A11" t="s">
        <v>203</v>
      </c>
      <c r="B11" t="s">
        <v>204</v>
      </c>
      <c r="C11" t="s">
        <v>205</v>
      </c>
    </row>
    <row r="12" spans="1:26">
      <c r="A12" t="s">
        <v>206</v>
      </c>
      <c r="B12" t="s">
        <v>207</v>
      </c>
      <c r="C12" t="s">
        <v>208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zoomScaleNormal="100" zoomScaleSheetLayoutView="100" workbookViewId="0"/>
  </sheetViews>
  <sheetFormatPr defaultRowHeight="15"/>
  <cols>
    <col min="1" max="1" width="30" customWidth="1"/>
    <col min="2" max="2" width="48" customWidth="1"/>
    <col min="3" max="3" width="16" customWidth="1"/>
    <col min="4" max="4" width="60" customWidth="1"/>
  </cols>
  <sheetData>
    <row r="1" spans="1:26" ht="24" customHeight="1">
      <c r="A1" s="17" t="s">
        <v>209</v>
      </c>
      <c r="B1" s="17"/>
      <c r="C1" s="17"/>
      <c r="D1" s="17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210</v>
      </c>
      <c r="B3" s="1" t="s">
        <v>211</v>
      </c>
      <c r="C3" s="1" t="s">
        <v>212</v>
      </c>
      <c r="D3" s="1" t="s">
        <v>63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t="s">
        <v>213</v>
      </c>
      <c r="B4" t="s">
        <v>214</v>
      </c>
      <c r="C4" t="s">
        <v>215</v>
      </c>
      <c r="D4" t="s">
        <v>216</v>
      </c>
    </row>
    <row r="5" spans="1:26">
      <c r="A5" t="s">
        <v>217</v>
      </c>
      <c r="B5" t="s">
        <v>218</v>
      </c>
      <c r="C5" t="s">
        <v>215</v>
      </c>
      <c r="D5" t="s">
        <v>219</v>
      </c>
    </row>
    <row r="6" spans="1:26">
      <c r="A6" t="s">
        <v>220</v>
      </c>
      <c r="B6" t="s">
        <v>221</v>
      </c>
      <c r="C6" t="s">
        <v>215</v>
      </c>
      <c r="D6" t="s">
        <v>222</v>
      </c>
    </row>
    <row r="7" spans="1:26">
      <c r="A7" t="s">
        <v>223</v>
      </c>
      <c r="B7" t="s">
        <v>224</v>
      </c>
      <c r="C7" t="s">
        <v>215</v>
      </c>
      <c r="D7" t="s">
        <v>225</v>
      </c>
    </row>
    <row r="8" spans="1:26">
      <c r="A8" t="s">
        <v>226</v>
      </c>
      <c r="B8" t="s">
        <v>227</v>
      </c>
      <c r="C8" t="s">
        <v>215</v>
      </c>
      <c r="D8" t="s">
        <v>228</v>
      </c>
    </row>
    <row r="9" spans="1:26">
      <c r="A9" t="s">
        <v>229</v>
      </c>
      <c r="B9" t="s">
        <v>230</v>
      </c>
      <c r="C9" t="s">
        <v>231</v>
      </c>
      <c r="D9" t="s">
        <v>232</v>
      </c>
    </row>
    <row r="10" spans="1:26">
      <c r="A10" t="s">
        <v>233</v>
      </c>
      <c r="B10" t="s">
        <v>234</v>
      </c>
      <c r="C10" t="s">
        <v>231</v>
      </c>
      <c r="D10" t="s">
        <v>235</v>
      </c>
    </row>
    <row r="11" spans="1:26">
      <c r="A11" t="s">
        <v>236</v>
      </c>
      <c r="B11" t="s">
        <v>237</v>
      </c>
      <c r="C11" t="s">
        <v>231</v>
      </c>
      <c r="D11" t="s">
        <v>238</v>
      </c>
    </row>
    <row r="12" spans="1:26">
      <c r="A12" t="s">
        <v>239</v>
      </c>
      <c r="B12" t="s">
        <v>240</v>
      </c>
      <c r="C12" t="s">
        <v>231</v>
      </c>
      <c r="D12" t="s">
        <v>241</v>
      </c>
    </row>
    <row r="13" spans="1:26">
      <c r="A13" t="s">
        <v>242</v>
      </c>
      <c r="B13" t="s">
        <v>243</v>
      </c>
      <c r="C13" t="s">
        <v>231</v>
      </c>
      <c r="D13" t="s">
        <v>244</v>
      </c>
    </row>
    <row r="14" spans="1:26">
      <c r="A14" t="s">
        <v>245</v>
      </c>
      <c r="B14" t="s">
        <v>246</v>
      </c>
      <c r="C14" t="s">
        <v>247</v>
      </c>
      <c r="D14" t="s">
        <v>248</v>
      </c>
    </row>
    <row r="15" spans="1:26">
      <c r="A15" t="s">
        <v>249</v>
      </c>
      <c r="B15" t="s">
        <v>250</v>
      </c>
      <c r="C15" t="s">
        <v>251</v>
      </c>
      <c r="D15" t="s">
        <v>252</v>
      </c>
    </row>
    <row r="16" spans="1:26">
      <c r="A16" t="s">
        <v>161</v>
      </c>
      <c r="B16" t="s">
        <v>253</v>
      </c>
      <c r="C16" t="s">
        <v>251</v>
      </c>
      <c r="D16" t="s">
        <v>254</v>
      </c>
    </row>
    <row r="17" spans="1:4">
      <c r="A17" t="s">
        <v>163</v>
      </c>
      <c r="B17" t="s">
        <v>255</v>
      </c>
      <c r="C17" t="s">
        <v>251</v>
      </c>
      <c r="D17" t="s">
        <v>256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5"/>
  <sheetViews>
    <sheetView zoomScaleNormal="100" zoomScaleSheetLayoutView="100" workbookViewId="0"/>
  </sheetViews>
  <sheetFormatPr defaultRowHeight="15"/>
  <cols>
    <col min="1" max="1" width="24" customWidth="1"/>
    <col min="2" max="2" width="145.625" customWidth="1"/>
  </cols>
  <sheetData>
    <row r="1" spans="1:26" ht="24" customHeight="1">
      <c r="A1" s="17" t="s">
        <v>257</v>
      </c>
      <c r="B1" s="17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>
      <c r="A3" s="1" t="s">
        <v>180</v>
      </c>
      <c r="B3" s="1" t="s">
        <v>258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t="s">
        <v>259</v>
      </c>
      <c r="B4" t="s">
        <v>260</v>
      </c>
    </row>
    <row r="5" spans="1:26">
      <c r="A5" t="s">
        <v>261</v>
      </c>
      <c r="B5" t="s">
        <v>262</v>
      </c>
    </row>
    <row r="6" spans="1:26">
      <c r="A6" t="s">
        <v>263</v>
      </c>
      <c r="B6" t="s">
        <v>264</v>
      </c>
    </row>
    <row r="7" spans="1:26">
      <c r="A7" t="s">
        <v>265</v>
      </c>
      <c r="B7" t="s">
        <v>266</v>
      </c>
    </row>
    <row r="8" spans="1:26">
      <c r="A8" t="s">
        <v>267</v>
      </c>
      <c r="B8" t="s">
        <v>268</v>
      </c>
    </row>
    <row r="9" spans="1:26">
      <c r="A9" t="s">
        <v>269</v>
      </c>
      <c r="B9" t="s">
        <v>270</v>
      </c>
    </row>
    <row r="10" spans="1:26">
      <c r="A10" t="s">
        <v>271</v>
      </c>
      <c r="B10" t="s">
        <v>272</v>
      </c>
    </row>
    <row r="11" spans="1:26">
      <c r="A11" t="s">
        <v>200</v>
      </c>
      <c r="B11" t="s">
        <v>273</v>
      </c>
    </row>
    <row r="12" spans="1:26">
      <c r="A12" t="s">
        <v>274</v>
      </c>
      <c r="B12" t="s">
        <v>275</v>
      </c>
    </row>
    <row r="13" spans="1:26">
      <c r="A13" t="s">
        <v>203</v>
      </c>
      <c r="B13" t="s">
        <v>276</v>
      </c>
    </row>
    <row r="14" spans="1:26">
      <c r="A14" t="s">
        <v>277</v>
      </c>
      <c r="B14" t="s">
        <v>278</v>
      </c>
    </row>
    <row r="15" spans="1:26">
      <c r="A15" t="s">
        <v>15</v>
      </c>
      <c r="B15" t="s">
        <v>16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2026-05-05T16:14:15Z</dcterms:created>
  <dcterms:modified xsi:type="dcterms:W3CDTF">2026-05-05T17:18:03Z</dcterms:modified>
  <cp:category/>
  <cp:contentStatus/>
</cp:coreProperties>
</file>