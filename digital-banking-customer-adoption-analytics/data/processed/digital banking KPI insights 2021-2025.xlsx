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4cd5562d0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f74d0132724c41ba"/>
    <x:sheet xmlns:r="http://schemas.openxmlformats.org/officeDocument/2006/relationships" name="Sector_TBB_Insights" sheetId="2" r:id="Rcd34b3c5b005445f"/>
    <x:sheet xmlns:r="http://schemas.openxmlformats.org/officeDocument/2006/relationships" name="Bank_Growth" sheetId="3" r:id="Ra37184f707a34df1"/>
    <x:sheet xmlns:r="http://schemas.openxmlformats.org/officeDocument/2006/relationships" name="Penetration_Analysis" sheetId="4" r:id="Rb1f24e798d6d483d"/>
    <x:sheet xmlns:r="http://schemas.openxmlformats.org/officeDocument/2006/relationships" name="Branch_Efficiency" sheetId="5" r:id="Rc9640133d638467f"/>
    <x:sheet xmlns:r="http://schemas.openxmlformats.org/officeDocument/2006/relationships" name="Employee_Efficiency" sheetId="6" r:id="R5f6b0674e00e4e19"/>
    <x:sheet xmlns:r="http://schemas.openxmlformats.org/officeDocument/2006/relationships" name="Digital_Adoption_Index" sheetId="7" r:id="Rc55f7c074c804c91"/>
    <x:sheet xmlns:r="http://schemas.openxmlformats.org/officeDocument/2006/relationships" name="Supporting_Channel_Insights" sheetId="8" r:id="R5e83c5cfcbd24d46"/>
    <x:sheet xmlns:r="http://schemas.openxmlformats.org/officeDocument/2006/relationships" name="Final_Findings" sheetId="9" r:id="R1ed099758aa84666"/>
    <x:sheet xmlns:r="http://schemas.openxmlformats.org/officeDocument/2006/relationships" name="Methodology_Notes" sheetId="10" r:id="Rad20baacbeb84b93"/>
    <x:sheet xmlns:r="http://schemas.openxmlformats.org/officeDocument/2006/relationships" name="Enhanced_KPI_Findings" sheetId="11" r:id="Rf33950f3842c497b"/>
    <x:sheet xmlns:r="http://schemas.openxmlformats.org/officeDocument/2006/relationships" name="Bank_Profile_Insights" sheetId="12" r:id="Rca77ab0cbd974d4e"/>
    <x:sheet xmlns:r="http://schemas.openxmlformats.org/officeDocument/2006/relationships" name="Index_Sensitivity" sheetId="13" r:id="Rbd5f10016ac146aa"/>
    <x:sheet xmlns:r="http://schemas.openxmlformats.org/officeDocument/2006/relationships" name="KPI_Business_Meaning" sheetId="14" r:id="R644e55e85c76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"/>
    <x:numFmt numFmtId="202" formatCode="#,##0"/>
    <x:numFmt numFmtId="203" formatCode="0%"/>
    <x:numFmt numFmtId="204" formatCode="0"/>
  </x:numFmts>
  <x:fonts count="8">
    <x:font>
      <x:sz val="11"/>
      <x:name val="Carlito"/>
    </x:font>
    <x:font>
      <x:b/>
      <x:sz val="14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4"/>
      <x:color rgb="FFFFFF"/>
      <x:name val="Calibri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1D4ED8"/>
      </x:patternFill>
    </x:fill>
    <x:fill>
      <x:patternFill patternType="solid">
        <x:fgColor rgb="334155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top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vertical="top"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6" borderId="0" xfId="0" applyNumberFormat="1" applyFont="1" applyFill="1" applyBorder="1"/>
    <x:xf numFmtId="0" fontId="7" fillId="7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left" vertical="top"/>
    </x:xf>
    <x:xf numFmtId="0" fontId="3" fillId="6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f46c7ec7c41da" /><Relationship Type="http://schemas.openxmlformats.org/officeDocument/2006/relationships/theme" Target="/xl/theme/theme1.xml" Id="Rd34f71ab1b994c5c" /><Relationship Type="http://schemas.openxmlformats.org/officeDocument/2006/relationships/sharedStrings" Target="/xl/sharedStrings.xml" Id="R3ff45a4033154ea9" /><Relationship Type="http://schemas.openxmlformats.org/officeDocument/2006/relationships/worksheet" Target="/xl/worksheets/sheet1.xml" Id="Rf74d0132724c41ba" /><Relationship Type="http://schemas.openxmlformats.org/officeDocument/2006/relationships/worksheet" Target="/xl/worksheets/sheet2.xml" Id="Rcd34b3c5b005445f" /><Relationship Type="http://schemas.openxmlformats.org/officeDocument/2006/relationships/worksheet" Target="/xl/worksheets/sheet3.xml" Id="Ra37184f707a34df1" /><Relationship Type="http://schemas.openxmlformats.org/officeDocument/2006/relationships/worksheet" Target="/xl/worksheets/sheet4.xml" Id="Rb1f24e798d6d483d" /><Relationship Type="http://schemas.openxmlformats.org/officeDocument/2006/relationships/worksheet" Target="/xl/worksheets/sheet5.xml" Id="Rc9640133d638467f" /><Relationship Type="http://schemas.openxmlformats.org/officeDocument/2006/relationships/worksheet" Target="/xl/worksheets/sheet6.xml" Id="R5f6b0674e00e4e19" /><Relationship Type="http://schemas.openxmlformats.org/officeDocument/2006/relationships/worksheet" Target="/xl/worksheets/sheet7.xml" Id="Rc55f7c074c804c91" /><Relationship Type="http://schemas.openxmlformats.org/officeDocument/2006/relationships/worksheet" Target="/xl/worksheets/sheet8.xml" Id="R5e83c5cfcbd24d46" /><Relationship Type="http://schemas.openxmlformats.org/officeDocument/2006/relationships/worksheet" Target="/xl/worksheets/sheet9.xml" Id="R1ed099758aa84666" /><Relationship Type="http://schemas.openxmlformats.org/officeDocument/2006/relationships/worksheet" Target="/xl/worksheets/sheet10.xml" Id="Rad20baacbeb84b93" /><Relationship Type="http://schemas.openxmlformats.org/officeDocument/2006/relationships/worksheet" Target="/xl/worksheets/sheet11.xml" Id="Rf33950f3842c497b" /><Relationship Type="http://schemas.openxmlformats.org/officeDocument/2006/relationships/worksheet" Target="/xl/worksheets/sheet12.xml" Id="Rca77ab0cbd974d4e" /><Relationship Type="http://schemas.openxmlformats.org/officeDocument/2006/relationships/worksheet" Target="/xl/worksheets/sheet13.xml" Id="Rbd5f10016ac146aa" /><Relationship Type="http://schemas.openxmlformats.org/officeDocument/2006/relationships/worksheet" Target="/xl/worksheets/sheet14.xml" Id="R644e55e85c764e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aec4997f1f4b5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e669ad80a2844b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03ff987586a44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TBB Sector Digital Adoption Trend (M)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Only Internet Active Customers (M)</c:v>
          </c:tx>
          <c:cat>
            <c:strRef>
              <c:f>'Sector_TBB_Insights'!$A$5:$A$9</c:f>
              <c:strCache>
                <c:ptCount val="0"/>
              </c:strCache>
            </c:strRef>
          </c:cat>
          <c:val>
            <c:numRef>
              <c:f>'Sector_TBB_Insights'!$B$5:$B$9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Only Mobile Active Customers (M)</c:v>
          </c:tx>
          <c:cat>
            <c:strRef>
              <c:f>'Sector_TBB_Insights'!$A$5:$A$9</c:f>
              <c:strCache>
                <c:ptCount val="0"/>
              </c:strCache>
            </c:strRef>
          </c:cat>
          <c:val>
            <c:numRef>
              <c:f>'Sector_TBB_Insights'!$C$5:$C$9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Both Internet+Mobile Active Customers (M)</c:v>
          </c:tx>
          <c:cat>
            <c:strRef>
              <c:f>'Sector_TBB_Insights'!$A$5:$A$9</c:f>
              <c:strCache>
                <c:ptCount val="0"/>
              </c:strCache>
            </c:strRef>
          </c:cat>
          <c:val>
            <c:numRef>
              <c:f>'Sector_TBB_Insights'!$D$5:$D$9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Total Active Digital Customers (M)</c:v>
          </c:tx>
          <c:cat>
            <c:strRef>
              <c:f>'Sector_TBB_Insights'!$A$5:$A$9</c:f>
              <c:strCache>
                <c:ptCount val="0"/>
              </c:strCache>
            </c:strRef>
          </c:cat>
          <c:val>
            <c:numRef>
              <c:f>'Sector_TBB_Insights'!$E$5:$E$9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Digital Customers per Branch: 2021 vs 2025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2021 Digital Cust./Branch</c:v>
          </c:tx>
          <c:cat>
            <c:strRef>
              <c:f>'Branch_Efficiency'!$A$5:$A$7</c:f>
              <c:strCache>
                <c:ptCount val="0"/>
              </c:strCache>
            </c:strRef>
          </c:cat>
          <c:val>
            <c:numRef>
              <c:f>'Branch_Efficiency'!$B$5:$B$7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2025 Digital Cust./Branch</c:v>
          </c:tx>
          <c:cat>
            <c:strRef>
              <c:f>'Branch_Efficiency'!$A$5:$A$7</c:f>
              <c:strCache>
                <c:ptCount val="0"/>
              </c:strCache>
            </c:strRef>
          </c:cat>
          <c:val>
            <c:numRef>
              <c:f>'Branch_Efficiency'!$C$5:$C$7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Directional Digital Adoption Index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Bank</c:v>
          </c:tx>
          <c:cat>
            <c:strRef>
              <c:f>'Digital_Adoption_Index'!$A$12:$A$14</c:f>
              <c:strCache>
                <c:ptCount val="0"/>
              </c:strCache>
            </c:strRef>
          </c:cat>
          <c:val>
            <c:numRef>
              <c:f>'Digital_Adoption_Index'!$B$12:$B$14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Directional Digital Adoption Index</c:v>
          </c:tx>
          <c:cat>
            <c:strRef>
              <c:f>'Digital_Adoption_Index'!$A$12:$A$14</c:f>
              <c:strCache>
                <c:ptCount val="0"/>
              </c:strCache>
            </c:strRef>
          </c:cat>
          <c:val>
            <c:numRef>
              <c:f>'Digital_Adoption_Index'!$C$12:$C$14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aec4997f1f4b5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669ad80a2844b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3ff987586a44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ecutiveKpiCards" displayName="ExecutiveKpiCards" ref="A4:C10" headerRowCount="1">
  <x:tableColumns count="3">
    <x:tableColumn id="1" name="KPI Card"/>
    <x:tableColumn id="2" name="Value"/>
    <x:tableColumn id="3" name="Meaning"/>
  </x:tableColumns>
  <x:tableStyleInfo name="TableStyleMedium2" showRowStripes="1"/>
</x:table>
</file>

<file path=xl/tables/table2.xml><?xml version="1.0" encoding="utf-8"?>
<x:table xmlns:x="http://schemas.openxmlformats.org/spreadsheetml/2006/main" id="2" name="SectorYearlyTable" displayName="SectorYearlyTable" ref="A4:J9" headerRowCount="1">
  <x:tableColumns count="10">
    <x:tableColumn id="1" name="Year"/>
    <x:tableColumn id="2" name="Only Internet Active Customers (M)"/>
    <x:tableColumn id="3" name="Only Mobile Active Customers (M)"/>
    <x:tableColumn id="4" name="Both Internet+Mobile Active Customers (M)"/>
    <x:tableColumn id="5" name="Total Active Digital Customers (M)"/>
    <x:tableColumn id="6" name="Mobile-only Share"/>
    <x:tableColumn id="7" name="Internet-only Share"/>
    <x:tableColumn id="8" name="Both Channel Share"/>
    <x:tableColumn id="9" name="YoY Total Digital Growth"/>
    <x:tableColumn id="10" name="YoY Mobile-only Growth"/>
  </x:tableColumns>
  <x:tableStyleInfo name="TableStyleMedium2" showRowStripes="1"/>
</x:table>
</file>

<file path=xl/tables/table3.xml><?xml version="1.0" encoding="utf-8"?>
<x:table xmlns:x="http://schemas.openxmlformats.org/spreadsheetml/2006/main" id="3" name="SectorChangeInsightTable" displayName="SectorChangeInsightTable" ref="A12:E18" headerRowCount="1">
  <x:tableColumns count="5">
    <x:tableColumn id="1" name="Metric"/>
    <x:tableColumn id="2" name="2021"/>
    <x:tableColumn id="3" name="2025"/>
    <x:tableColumn id="4" name="Change"/>
    <x:tableColumn id="5" name="Plain-English 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BankGrowthTable" displayName="BankGrowthTable" ref="A4:K7" headerRowCount="1">
  <x:tableColumns count="11">
    <x:tableColumn id="1" name="Bank"/>
    <x:tableColumn id="2" name="Customer base 2021 (M)"/>
    <x:tableColumn id="3" name="Customer base 2025 (M)"/>
    <x:tableColumn id="4" name="Customer base growth"/>
    <x:tableColumn id="5" name="Digital customers 2021 (M)"/>
    <x:tableColumn id="6" name="Digital customers 2025 (M)"/>
    <x:tableColumn id="7" name="Digital customer growth"/>
    <x:tableColumn id="8" name="Branches 2021"/>
    <x:tableColumn id="9" name="Branches 2025"/>
    <x:tableColumn id="10" name="Branch change"/>
    <x:tableColumn id="11" name="Interpretation"/>
  </x:tableColumns>
  <x:tableStyleInfo name="TableStyleMedium2" showRowStripes="1"/>
</x:table>
</file>

<file path=xl/tables/table5.xml><?xml version="1.0" encoding="utf-8"?>
<x:table xmlns:x="http://schemas.openxmlformats.org/spreadsheetml/2006/main" id="5" name="PenetrationTable" displayName="PenetrationTable" ref="A4:H7" headerRowCount="1">
  <x:tableColumns count="8">
    <x:tableColumn id="1" name="Bank"/>
    <x:tableColumn id="2" name="2021"/>
    <x:tableColumn id="3" name="2022"/>
    <x:tableColumn id="4" name="2023"/>
    <x:tableColumn id="5" name="2024"/>
    <x:tableColumn id="6" name="2025"/>
    <x:tableColumn id="7" name="Change 2021–2025 (pp)"/>
    <x:tableColumn id="8" name="2025 Interpretation"/>
  </x:tableColumns>
  <x:tableStyleInfo name="TableStyleMedium2" showRowStripes="1"/>
</x:table>
</file>

<file path=xl/tables/table6.xml><?xml version="1.0" encoding="utf-8"?>
<x:table xmlns:x="http://schemas.openxmlformats.org/spreadsheetml/2006/main" id="6" name="BranchEfficiencyTable" displayName="BranchEfficiencyTable" ref="A4:H7" headerRowCount="1">
  <x:tableColumns count="8">
    <x:tableColumn id="1" name="Bank"/>
    <x:tableColumn id="2" name="2021 Digital Cust./Branch"/>
    <x:tableColumn id="3" name="2025 Digital Cust./Branch"/>
    <x:tableColumn id="4" name="Growth"/>
    <x:tableColumn id="5" name="2021 Branches"/>
    <x:tableColumn id="6" name="2025 Branches"/>
    <x:tableColumn id="7" name="Branch Change"/>
    <x:tableColumn id="8" name="Interpretation"/>
  </x:tableColumns>
  <x:tableStyleInfo name="TableStyleMedium2" showRowStripes="1"/>
</x:table>
</file>

<file path=xl/tables/table7.xml><?xml version="1.0" encoding="utf-8"?>
<x:table xmlns:x="http://schemas.openxmlformats.org/spreadsheetml/2006/main" id="7" name="EmployeeEfficiencyTable" displayName="EmployeeEfficiencyTable" ref="A4:H7" headerRowCount="1">
  <x:tableColumns count="8">
    <x:tableColumn id="1" name="Bank"/>
    <x:tableColumn id="2" name="2021 Digital Cust./Employee"/>
    <x:tableColumn id="3" name="2025 Digital Cust./Employee"/>
    <x:tableColumn id="4" name="Growth"/>
    <x:tableColumn id="5" name="2021 Employees"/>
    <x:tableColumn id="6" name="2025 Employees"/>
    <x:tableColumn id="7" name="Employee Change"/>
    <x:tableColumn id="8" name="Interpretation"/>
  </x:tableColumns>
  <x:tableStyleInfo name="TableStyleMedium2" showRowStripes="1"/>
</x:table>
</file>

<file path=xl/tables/table8.xml><?xml version="1.0" encoding="utf-8"?>
<x:table xmlns:x="http://schemas.openxmlformats.org/spreadsheetml/2006/main" id="8" name="IndexWeightsTable" displayName="IndexWeightsTable" ref="A4:C8" headerRowCount="1">
  <x:tableColumns count="3">
    <x:tableColumn id="1" name="Component"/>
    <x:tableColumn id="2" name="Weight"/>
    <x:tableColumn id="3" name="Reason"/>
  </x:tableColumns>
  <x:tableStyleInfo name="TableStyleMedium2" showRowStripes="1"/>
</x:table>
</file>

<file path=xl/tables/table9.xml><?xml version="1.0" encoding="utf-8"?>
<x:table xmlns:x="http://schemas.openxmlformats.org/spreadsheetml/2006/main" id="9" name="IndexResultsTable" displayName="IndexResultsTable" ref="A11:I14" headerRowCount="1">
  <x:tableColumns count="9">
    <x:tableColumn id="1" name="Rank"/>
    <x:tableColumn id="2" name="Bank"/>
    <x:tableColumn id="3" name="Directional Digital Adoption Index"/>
    <x:tableColumn id="4" name="Reported Digital Penetration"/>
    <x:tableColumn id="5" name="Digital Cust./Branch"/>
    <x:tableColumn id="6" name="Digital Cust./Employee"/>
    <x:tableColumn id="7" name="Digital Customer Growth 2021–2025"/>
    <x:tableColumn id="8" name="Why this score?"/>
    <x:tableColumn id="9" name="Data caveat"/>
  </x:tableColumns>
  <x:tableStyleInfo name="TableStyleMedium2" showRowStripes="1"/>
</x:table>
</file>

<file path=xl/tables/table10.xml><?xml version="1.0" encoding="utf-8"?>
<x:table xmlns:x="http://schemas.openxmlformats.org/spreadsheetml/2006/main" id="10" name="AkbankMobileShareTable" displayName="AkbankMobileShareTable" ref="A4:D9" headerRowCount="1">
  <x:tableColumns count="4">
    <x:tableColumn id="1" name="Bank"/>
    <x:tableColumn id="2" name="Year"/>
    <x:tableColumn id="3" name="Mobile Transaction Share"/>
    <x:tableColumn id="4" name="Interpretation"/>
  </x:tableColumns>
  <x:tableStyleInfo name="TableStyleMedium2" showRowStripes="1"/>
</x:table>
</file>

<file path=xl/tables/table11.xml><?xml version="1.0" encoding="utf-8"?>
<x:table xmlns:x="http://schemas.openxmlformats.org/spreadsheetml/2006/main" id="11" name="GarantiMobileTable" displayName="GarantiMobileTable" ref="A12:D17" headerRowCount="1">
  <x:tableColumns count="4">
    <x:tableColumn id="1" name="Bank"/>
    <x:tableColumn id="2" name="Year"/>
    <x:tableColumn id="3" name="Mobile Banking Customers (M)"/>
    <x:tableColumn id="4" name="Interpretation"/>
  </x:tableColumns>
  <x:tableStyleInfo name="TableStyleMedium2" showRowStripes="1"/>
</x:table>
</file>

<file path=xl/tables/table12.xml><?xml version="1.0" encoding="utf-8"?>
<x:table xmlns:x="http://schemas.openxmlformats.org/spreadsheetml/2006/main" id="12" name="IsbankChannelTable" displayName="IsbankChannelTable" ref="A21:E34" headerRowCount="1">
  <x:tableColumns count="5">
    <x:tableColumn id="1" name="Bank"/>
    <x:tableColumn id="2" name="Year"/>
    <x:tableColumn id="3" name="İşCep Users (M) / Ratio"/>
    <x:tableColumn id="4" name="Indicator"/>
    <x:tableColumn id="5" name="Interpretation"/>
  </x:tableColumns>
  <x:tableStyleInfo name="TableStyleMedium2" showRowStripes="1"/>
</x:table>
</file>

<file path=xl/tables/table13.xml><?xml version="1.0" encoding="utf-8"?>
<x:table xmlns:x="http://schemas.openxmlformats.org/spreadsheetml/2006/main" id="13" name="FinalFindingsTable" displayName="FinalFindingsTable" ref="A4:D12" headerRowCount="1">
  <x:tableColumns count="4">
    <x:tableColumn id="1" name="Finding"/>
    <x:tableColumn id="2" name="Evidence"/>
    <x:tableColumn id="3" name="Interpretation"/>
    <x:tableColumn id="4" name="Recommended Dashboard Page"/>
  </x:tableColumns>
  <x:tableStyleInfo name="TableStyleMedium2" showRowStripes="1"/>
</x:table>
</file>

<file path=xl/tables/table14.xml><?xml version="1.0" encoding="utf-8"?>
<x:table xmlns:x="http://schemas.openxmlformats.org/spreadsheetml/2006/main" id="14" name="MethodologyNotesTable" displayName="MethodologyNotesTable" ref="A4:C12" headerRowCount="1">
  <x:tableColumns count="3">
    <x:tableColumn id="1" name="Topic"/>
    <x:tableColumn id="2" name="Decision / Limitation"/>
    <x:tableColumn id="3" name="Why it matt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94f99cde204d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df01d392f324564" /><Relationship Type="http://schemas.openxmlformats.org/officeDocument/2006/relationships/table" Target="/xl/tables/table2.xml" Id="R48eb0a5527fd4a85" /><Relationship Type="http://schemas.openxmlformats.org/officeDocument/2006/relationships/table" Target="/xl/tables/table3.xml" Id="R06a6b647156043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0314dfe3d4a46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e4513cbd51c41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19d34dbc2e294dcb" /><Relationship Type="http://schemas.openxmlformats.org/officeDocument/2006/relationships/table" Target="/xl/tables/table6.xml" Id="R260a19bdaf0e4c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b57924c46cb54f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ac2824767bc840f3" /><Relationship Type="http://schemas.openxmlformats.org/officeDocument/2006/relationships/table" Target="/xl/tables/table8.xml" Id="Re6dcb9b94fe04d15" /><Relationship Type="http://schemas.openxmlformats.org/officeDocument/2006/relationships/table" Target="/xl/tables/table9.xml" Id="Rf49f51b4dae346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ec10452ac0ea4771" /><Relationship Type="http://schemas.openxmlformats.org/officeDocument/2006/relationships/table" Target="/xl/tables/table11.xml" Id="Re01a6207164e4f51" /><Relationship Type="http://schemas.openxmlformats.org/officeDocument/2006/relationships/table" Target="/xl/tables/table12.xml" Id="R983aaea9e0134b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994e577d54f440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167bb494ba2e461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44" hidden="0" customWidth="1"/>
  </x:cols>
  <x:sheetData>
    <x:row r="1" ht="28" customHeight="1">
      <x:c r="A1" s="60" t="str">
        <x:v>Digital Banking KPI &amp; Insight Analysis — 2021–2025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42" customHeight="1">
      <x:c r="A2" s="13" t="str">
        <x:v>Purpose: turn the master dataset into clear, interview-ready insights for Turkish digital banking adoption, selected bank benchmarking, and dashboard planning.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91" t="str">
        <x:v>KPI Card</x:v>
      </x:c>
      <x:c r="B4" s="91" t="str">
        <x:v>Value</x:v>
      </x:c>
      <x:c r="C4" s="91" t="str">
        <x:v>Meaning</x:v>
      </x:c>
      <x:c r="D4" s="86"/>
      <x:c r="E4" s="86"/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30" t="str">
        <x:v>TBB active digital customer records, 2025</x:v>
      </x:c>
      <x:c r="B5" s="30" t="str">
        <x:v>127.7M</x:v>
      </x:c>
      <x:c r="C5" s="30" t="str">
        <x:v>Sector-level active digital banking records; not deduplicated across banks.</x:v>
      </x:c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30" t="str">
        <x:v>TBB mobile-only share, 2025</x:v>
      </x:c>
      <x:c r="B6" s="30" t="str">
        <x:v>93.8%</x:v>
      </x:c>
      <x:c r="C6" s="30" t="str">
        <x:v>Sector is structurally mobile-first.</x:v>
      </x:c>
      <x:c r="D6" s="86"/>
      <x:c r="E6" s="86"/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30" t="str">
        <x:v>Highest 2025 reported digital customer scale</x:v>
      </x:c>
      <x:c r="B7" s="30" t="str">
        <x:v>Garanti BBVA — 18.0M</x:v>
      </x:c>
      <x:c r="C7" s="30" t="str">
        <x:v>Garanti leads in absolute reported digital banking customer count among the selected banks.</x:v>
      </x:c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30" t="str">
        <x:v>Strongest 2021–2025 digital customer growth</x:v>
      </x:c>
      <x:c r="B8" s="30" t="str">
        <x:v>Akbank — +100.0%</x:v>
      </x:c>
      <x:c r="C8" s="30" t="str">
        <x:v>Akbank doubled its reported digital banking users.</x:v>
      </x:c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30" t="str">
        <x:v>Highest 2025 digital customers / branch</x:v>
      </x:c>
      <x:c r="B9" s="30" t="str">
        <x:v>Garanti BBVA — 22.7K</x:v>
      </x:c>
      <x:c r="C9" s="30" t="str">
        <x:v>Garanti has the strongest branch-scaled digital customer intensity in 2025.</x:v>
      </x:c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30" t="str">
        <x:v>Directional Digital Adoption Index leader</x:v>
      </x:c>
      <x:c r="B10" s="30" t="str">
        <x:v>Akbank — 89.3/100</x:v>
      </x:c>
      <x:c r="C10" s="30" t="str">
        <x:v>Akbank leads the project-specific directional index due to penetration, growth, and employee-scaled intensity.</x:v>
      </x:c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92" t="str">
        <x:v>Main Methodology Guardrails</x:v>
      </x:c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 ht="60" customHeight="1">
      <x:c r="A14" s="13" t="str">
        <x:v>• Core benchmark uses only more defensible metrics: reported digital customers, reported customer base, branches, employees, ATMs, and derived ratios.
• Mobile/app users and POS metrics are valuable but excluded from the core benchmark and index because disclosures are not consistent across all banks.
• The Digital Adoption Index is directional and project-specific. It is not an official ranking and should not be presented as a regulatory-grade comparison.
• The strongest project story is not just growth; it is digital scaling while branch networks stay flat or decline.</x:v>
      </x:c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92" t="str">
        <x:v>One-sentence project storyline</x:v>
      </x:c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 ht="45" customHeight="1">
      <x:c r="A22" s="13" t="str">
        <x:v>• Sector-level story: TBB data shows Turkey’s active digital banking structure became overwhelmingly mobile-first between 2021 and 2025.
• Bank-level story: all three selected banks scaled digital customers while branch counts declined; this supports a branch-to-digital migration thesis.
• Bank-specific story: Garanti leads in absolute digital scale and branch-scaled intensity; Akbank leads in digital penetration and growth; İşbank shows strong digital scaling with the sharpest branch network reduction.</x:v>
      </x:c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8" t="str">
        <x:v>Enhanced Insight Additions</x:v>
      </x:c>
      <x:c r="B24" s="88"/>
      <x:c r="C24" s="88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9" t="str">
        <x:v>Added metric</x:v>
      </x:c>
      <x:c r="B25" s="89" t="str">
        <x:v>Why it matters</x:v>
      </x:c>
      <x:c r="C25" s="89" t="str">
        <x:v>How to use it</x:v>
      </x:c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30" t="str">
        <x:v>Digital Customer CAGR</x:v>
      </x:c>
      <x:c r="B26" s="30" t="str">
        <x:v>Shows annualized digital growth, not just raw growth.</x:v>
      </x:c>
      <x:c r="C26" s="30" t="str">
        <x:v>Use in growth analysis and executive summary.</x:v>
      </x:c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30" t="str">
        <x:v>Penetration Change (pp)</x:v>
      </x:c>
      <x:c r="B27" s="30" t="str">
        <x:v>Shows how many percentage points reported digital penetration improved.</x:v>
      </x:c>
      <x:c r="C27" s="30" t="str">
        <x:v>Use in penetration page captions.</x:v>
      </x:c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30" t="str">
        <x:v>Branch-to-Digital Decoupling</x:v>
      </x:c>
      <x:c r="B28" s="30" t="str">
        <x:v>Shows digital growth minus branch growth; strong signal when digital rises and branches decline.</x:v>
      </x:c>
      <x:c r="C28" s="30" t="str">
        <x:v>Use as a headline KPI for branch-to-digital migration.</x:v>
      </x:c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30" t="str">
        <x:v>Digital Growth Above Customer Growth</x:v>
      </x:c>
      <x:c r="B29" s="30" t="str">
        <x:v>Shows whether digital adoption outpaced the overall reported customer base.</x:v>
      </x:c>
      <x:c r="C29" s="30" t="str">
        <x:v>Use in bank profiles.</x:v>
      </x:c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30" t="str">
        <x:v>Index Sensitivity Check</x:v>
      </x:c>
      <x:c r="B30" s="30" t="str">
        <x:v>Tests whether directional rank is stable under equal weights.</x:v>
      </x:c>
      <x:c r="C30" s="30" t="str">
        <x:v>Use to defend the index methodology in interviews.</x:v>
      </x:c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</x:sheetData>
  <x:mergeCells>
    <x:mergeCell ref="A1:H1"/>
    <x:mergeCell ref="A2:H2"/>
    <x:mergeCell ref="A13:H13"/>
    <x:mergeCell ref="A14:H18"/>
    <x:mergeCell ref="A21:H21"/>
    <x:mergeCell ref="A22:H25"/>
    <x:mergeCell ref="A24:C24"/>
  </x:mergeCells>
  <x:pageMargins left="0.7" right="0.7" top="0.75" bottom="0.75" header="0.3" footer="0.3"/>
  <x:tableParts count="1">
    <x:tablePart xmlns:r="http://schemas.openxmlformats.org/officeDocument/2006/relationships" r:id="R5594f99cde204d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6" hidden="0" customWidth="1"/>
    <x:col min="5" max="5" width="4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61" t="str">
        <x:v>Sector-Level Insights — TBB Digital Banking Data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 ht="42" customHeight="1">
      <x:c r="A2" s="13" t="str">
        <x:v>This sheet explains how the Turkish digital banking market changed between 2021 and 2025. TBB data is sector-level and not deduplicated across banks.</x:v>
      </x:c>
    </x:row>
    <x:row r="4">
      <x:c r="A4" s="22" t="str">
        <x:v>Year</x:v>
      </x:c>
      <x:c r="B4" s="22" t="str">
        <x:v>Only Internet Active Customers (M)</x:v>
      </x:c>
      <x:c r="C4" s="22" t="str">
        <x:v>Only Mobile Active Customers (M)</x:v>
      </x:c>
      <x:c r="D4" s="22" t="str">
        <x:v>Both Internet+Mobile Active Customers (M)</x:v>
      </x:c>
      <x:c r="E4" s="22" t="str">
        <x:v>Total Active Digital Customers (M)</x:v>
      </x:c>
      <x:c r="F4" s="22" t="str">
        <x:v>Mobile-only Share</x:v>
      </x:c>
      <x:c r="G4" s="22" t="str">
        <x:v>Internet-only Share</x:v>
      </x:c>
      <x:c r="H4" s="22" t="str">
        <x:v>Both Channel Share</x:v>
      </x:c>
      <x:c r="I4" s="22" t="str">
        <x:v>YoY Total Digital Growth</x:v>
      </x:c>
      <x:c r="J4" s="22" t="str">
        <x:v>YoY Mobile-only Growth</x:v>
      </x:c>
    </x:row>
    <x:row r="5">
      <x:c r="A5" s="30" t="n">
        <x:v>2021</x:v>
      </x:c>
      <x:c r="B5" s="30" t="n">
        <x:v>2.764</x:v>
      </x:c>
      <x:c r="C5" s="30" t="n">
        <x:v>65.954</x:v>
      </x:c>
      <x:c r="D5" s="30" t="n">
        <x:v>9.214</x:v>
      </x:c>
      <x:c r="E5" s="30" t="n">
        <x:v>77.932</x:v>
      </x:c>
      <x:c r="F5" s="40" t="n">
        <x:v>0.8463019042241954</x:v>
      </x:c>
      <x:c r="G5" s="40" t="n">
        <x:v>0.03546681722527331</x:v>
      </x:c>
      <x:c r="H5" s="40" t="n">
        <x:v>0.11823127855053124</x:v>
      </x:c>
      <x:c r="I5" s="40"/>
      <x:c r="J5" s="40"/>
    </x:row>
    <x:row r="6">
      <x:c r="A6" s="30" t="n">
        <x:v>2022</x:v>
      </x:c>
      <x:c r="B6" s="30" t="n">
        <x:v>2.301</x:v>
      </x:c>
      <x:c r="C6" s="30" t="n">
        <x:v>82.304</x:v>
      </x:c>
      <x:c r="D6" s="30" t="n">
        <x:v>9.786</x:v>
      </x:c>
      <x:c r="E6" s="30" t="n">
        <x:v>94.39</x:v>
      </x:c>
      <x:c r="F6" s="40" t="n">
        <x:v>0.8719567750821061</x:v>
      </x:c>
      <x:c r="G6" s="40" t="n">
        <x:v>0.02437758237101388</x:v>
      </x:c>
      <x:c r="H6" s="40" t="n">
        <x:v>0.103676236889501</x:v>
      </x:c>
      <x:c r="I6" s="40" t="n">
        <x:v>0.21118410922342545</x:v>
      </x:c>
      <x:c r="J6" s="40" t="n">
        <x:v>0.2479000515510812</x:v>
      </x:c>
    </x:row>
    <x:row r="7">
      <x:c r="A7" s="30" t="n">
        <x:v>2023</x:v>
      </x:c>
      <x:c r="B7" s="30" t="n">
        <x:v>1.802</x:v>
      </x:c>
      <x:c r="C7" s="30" t="n">
        <x:v>98.543</x:v>
      </x:c>
      <x:c r="D7" s="30" t="n">
        <x:v>10.243</x:v>
      </x:c>
      <x:c r="E7" s="30" t="n">
        <x:v>110.588</x:v>
      </x:c>
      <x:c r="F7" s="40" t="n">
        <x:v>0.8910822150685428</x:v>
      </x:c>
      <x:c r="G7" s="40" t="n">
        <x:v>0.016294715520671323</x:v>
      </x:c>
      <x:c r="H7" s="40" t="n">
        <x:v>0.09262306941078599</x:v>
      </x:c>
      <x:c r="I7" s="40" t="n">
        <x:v>0.17160716177561186</x:v>
      </x:c>
      <x:c r="J7" s="40" t="n">
        <x:v>0.19730511275272167</x:v>
      </x:c>
    </x:row>
    <x:row r="8">
      <x:c r="A8" s="30" t="n">
        <x:v>2024</x:v>
      </x:c>
      <x:c r="B8" s="30" t="n">
        <x:v>1.368</x:v>
      </x:c>
      <x:c r="C8" s="30" t="n">
        <x:v>109.644</x:v>
      </x:c>
      <x:c r="D8" s="30" t="n">
        <x:v>8.111</x:v>
      </x:c>
      <x:c r="E8" s="30" t="n">
        <x:v>119.123</x:v>
      </x:c>
      <x:c r="F8" s="40" t="n">
        <x:v>0.9204267857592573</x:v>
      </x:c>
      <x:c r="G8" s="40" t="n">
        <x:v>0.011483928376551968</x:v>
      </x:c>
      <x:c r="H8" s="40" t="n">
        <x:v>0.0680892858641908</x:v>
      </x:c>
      <x:c r="I8" s="40" t="n">
        <x:v>0.07717835569862919</x:v>
      </x:c>
      <x:c r="J8" s="40" t="n">
        <x:v>0.11265132987629767</x:v>
      </x:c>
    </x:row>
    <x:row r="9">
      <x:c r="A9" s="30" t="n">
        <x:v>2025</x:v>
      </x:c>
      <x:c r="B9" s="30" t="n">
        <x:v>1.079</x:v>
      </x:c>
      <x:c r="C9" s="30" t="n">
        <x:v>119.78</x:v>
      </x:c>
      <x:c r="D9" s="30" t="n">
        <x:v>6.818</x:v>
      </x:c>
      <x:c r="E9" s="30" t="n">
        <x:v>127.677</x:v>
      </x:c>
      <x:c r="F9" s="40" t="n">
        <x:v>0.938148609381486</x:v>
      </x:c>
      <x:c r="G9" s="40" t="n">
        <x:v>0.008451013103378055</x:v>
      </x:c>
      <x:c r="H9" s="40" t="n">
        <x:v>0.05340037751513584</x:v>
      </x:c>
      <x:c r="I9" s="40" t="n">
        <x:v>0.07180813109139295</x:v>
      </x:c>
      <x:c r="J9" s="40" t="n">
        <x:v>0.09244463901353472</x:v>
      </x:c>
    </x:row>
    <x:row r="12">
      <x:c r="A12" s="22" t="str">
        <x:v>Metric</x:v>
      </x:c>
      <x:c r="B12" s="22" t="str">
        <x:v>2021</x:v>
      </x:c>
      <x:c r="C12" s="22" t="str">
        <x:v>2025</x:v>
      </x:c>
      <x:c r="D12" s="22" t="str">
        <x:v>Change</x:v>
      </x:c>
      <x:c r="E12" s="22" t="str">
        <x:v>Plain-English Interpretation</x:v>
      </x:c>
    </x:row>
    <x:row r="13">
      <x:c r="A13" s="30" t="str">
        <x:v>Total active digital customer records</x:v>
      </x:c>
      <x:c r="B13" s="42" t="n">
        <x:v>77.932</x:v>
      </x:c>
      <x:c r="C13" s="42" t="n">
        <x:v>127.677</x:v>
      </x:c>
      <x:c r="D13" s="40" t="n">
        <x:v>0.6383128881589077</x:v>
      </x:c>
      <x:c r="E13" s="30" t="str">
        <x:v>Sector-level active digital banking records expanded strongly from 77.9M to 127.7M. This is a scale story, not a unique-person count.</x:v>
      </x:c>
    </x:row>
    <x:row r="14">
      <x:c r="A14" s="30" t="str">
        <x:v>Only mobile active customers</x:v>
      </x:c>
      <x:c r="B14" s="42" t="n">
        <x:v>65.954</x:v>
      </x:c>
      <x:c r="C14" s="42" t="n">
        <x:v>119.78</x:v>
      </x:c>
      <x:c r="D14" s="40" t="n">
        <x:v>0.8161142614549537</x:v>
      </x:c>
      <x:c r="E14" s="30" t="str">
        <x:v>Mobile-only users grew faster than the total digital base, confirming that mobile is the primary adoption channel.</x:v>
      </x:c>
    </x:row>
    <x:row r="15">
      <x:c r="A15" s="30" t="str">
        <x:v>Only internet active customers</x:v>
      </x:c>
      <x:c r="B15" s="42" t="n">
        <x:v>2.764</x:v>
      </x:c>
      <x:c r="C15" s="42" t="n">
        <x:v>1.079</x:v>
      </x:c>
      <x:c r="D15" s="40" t="n">
        <x:v>-0.6096237337192474</x:v>
      </x:c>
      <x:c r="E15" s="30" t="str">
        <x:v>Internet-only usage declined sharply, showing that standalone internet banking is becoming marginal in the active digital base.</x:v>
      </x:c>
    </x:row>
    <x:row r="16">
      <x:c r="A16" s="30" t="str">
        <x:v>Mobile-only share</x:v>
      </x:c>
      <x:c r="B16" s="40" t="n">
        <x:v>0.8463019042241954</x:v>
      </x:c>
      <x:c r="C16" s="40" t="n">
        <x:v>0.938148609381486</x:v>
      </x:c>
      <x:c r="D16" s="40" t="n">
        <x:v>0.09184670515729065</x:v>
      </x:c>
      <x:c r="E16" s="30" t="str">
        <x:v>Mobile-only share rose from 84.6% to 93.8%. The sector has structurally become mobile-first.</x:v>
      </x:c>
    </x:row>
    <x:row r="17">
      <x:c r="A17" s="30" t="str">
        <x:v>Internet-only share</x:v>
      </x:c>
      <x:c r="B17" s="40" t="n">
        <x:v>0.03546681722527331</x:v>
      </x:c>
      <x:c r="C17" s="40" t="n">
        <x:v>0.008451013103378055</x:v>
      </x:c>
      <x:c r="D17" s="40" t="n">
        <x:v>-0.027015804121895255</x:v>
      </x:c>
      <x:c r="E17" s="30" t="str">
        <x:v>Internet-only share fell from 3.5% to 0.8%. Internet-only banking is now a small residual segment.</x:v>
      </x:c>
    </x:row>
    <x:row r="18">
      <x:c r="A18" s="30" t="str">
        <x:v>Both internet + mobile share</x:v>
      </x:c>
      <x:c r="B18" s="40" t="n">
        <x:v>0.11823127855053124</x:v>
      </x:c>
      <x:c r="C18" s="40" t="n">
        <x:v>0.05340037751513584</x:v>
      </x:c>
      <x:c r="D18" s="40" t="n">
        <x:v>-0.0648309010353954</x:v>
      </x:c>
      <x:c r="E18" s="30" t="str">
        <x:v>Dual-channel share also declined, suggesting that active digital usage is concentrating around mobile-only behavior.</x:v>
      </x:c>
    </x:row>
    <x:row r="21">
      <x:c r="A21" s="35" t="str">
        <x:v>Sector Insight Narrative</x:v>
      </x:c>
    </x:row>
    <x:row r="22" ht="75" customHeight="1">
      <x:c r="A22" s="13" t="str">
        <x:v>• The total active digital customer record base grew from 77.9M to 127.7M, a 63.8% increase.
• Only-mobile active customers grew by 81.6%, much faster than the total digital base.
• Only-internet active customers declined by 61.0%, making internet-only behavior marginal by 2025.
• Mobile-only share rose by 9.2 percentage points, from 84.6% to 93.8%.
• Interpretation: the sector story is not simply digital growth; it is mobile concentration within digital banking.</x:v>
      </x:c>
    </x:row>
  </x:sheetData>
  <x:mergeCells>
    <x:mergeCell ref="A1:H1"/>
    <x:mergeCell ref="A2:H2"/>
    <x:mergeCell ref="A21:H21"/>
    <x:mergeCell ref="A22:H27"/>
  </x:mergeCells>
  <x:pageMargins left="0.7" right="0.7" top="0.75" bottom="0.75" header="0.3" footer="0.3"/>
  <x:drawing xmlns:r="http://schemas.openxmlformats.org/officeDocument/2006/relationships" r:id="R8df01d392f324564"/>
  <x:tableParts count="2">
    <x:tablePart xmlns:r="http://schemas.openxmlformats.org/officeDocument/2006/relationships" r:id="R48eb0a5527fd4a85"/>
    <x:tablePart xmlns:r="http://schemas.openxmlformats.org/officeDocument/2006/relationships" r:id="R06a6b647156043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</x:cols>
  <x:sheetData>
    <x:row r="1" ht="28" customHeight="1">
      <x:c r="A1" s="61" t="str">
        <x:v>Bank-Level Growth Analysis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 ht="42" customHeight="1">
      <x:c r="A2" s="13" t="str">
        <x:v>This sheet compares reported customer base, digital customer scale, and branch network change for Garanti BBVA, Akbank and İşbank.</x:v>
      </x:c>
    </x:row>
    <x:row r="4">
      <x:c r="A4" s="22" t="str">
        <x:v>Bank</x:v>
      </x:c>
      <x:c r="B4" s="22" t="str">
        <x:v>Customer base 2021 (M)</x:v>
      </x:c>
      <x:c r="C4" s="22" t="str">
        <x:v>Customer base 2025 (M)</x:v>
      </x:c>
      <x:c r="D4" s="22" t="str">
        <x:v>Customer base growth</x:v>
      </x:c>
      <x:c r="E4" s="22" t="str">
        <x:v>Digital customers 2021 (M)</x:v>
      </x:c>
      <x:c r="F4" s="22" t="str">
        <x:v>Digital customers 2025 (M)</x:v>
      </x:c>
      <x:c r="G4" s="22" t="str">
        <x:v>Digital customer growth</x:v>
      </x:c>
      <x:c r="H4" s="22" t="str">
        <x:v>Branches 2021</x:v>
      </x:c>
      <x:c r="I4" s="22" t="str">
        <x:v>Branches 2025</x:v>
      </x:c>
      <x:c r="J4" s="22" t="str">
        <x:v>Branch change</x:v>
      </x:c>
      <x:c r="K4" s="22" t="str">
        <x:v>Interpretation</x:v>
      </x:c>
    </x:row>
    <x:row r="5">
      <x:c r="A5" s="30" t="str">
        <x:v>Garanti BBVA</x:v>
      </x:c>
      <x:c r="B5" s="30" t="n">
        <x:v>20.376831</x:v>
      </x:c>
      <x:c r="C5" s="30" t="n">
        <x:v>30.14166</x:v>
      </x:c>
      <x:c r="D5" s="40" t="n">
        <x:v>0.479212346610717</x:v>
      </x:c>
      <x:c r="E5" s="30" t="n">
        <x:v>11.04015</x:v>
      </x:c>
      <x:c r="F5" s="30" t="n">
        <x:v>18.040749</x:v>
      </x:c>
      <x:c r="G5" s="40" t="n">
        <x:v>0.6341036127226534</x:v>
      </x:c>
      <x:c r="H5" s="30" t="n">
        <x:v>872</x:v>
      </x:c>
      <x:c r="I5" s="30" t="n">
        <x:v>795</x:v>
      </x:c>
      <x:c r="J5" s="40" t="n">
        <x:v>-0.08830275229357798</x:v>
      </x:c>
      <x:c r="K5" s="30" t="str">
        <x:v>Garanti has the largest reported 2025 digital customer scale among the selected banks. Digital customers grew faster than total customers, while branches declined moderately.</x:v>
      </x:c>
    </x:row>
    <x:row r="6">
      <x:c r="A6" s="30" t="str">
        <x:v>Akbank</x:v>
      </x:c>
      <x:c r="B6" s="30" t="n">
        <x:v>10</x:v>
      </x:c>
      <x:c r="C6" s="30" t="n">
        <x:v>15.2</x:v>
      </x:c>
      <x:c r="D6" s="40" t="n">
        <x:v>0.52</x:v>
      </x:c>
      <x:c r="E6" s="30" t="n">
        <x:v>6.6</x:v>
      </x:c>
      <x:c r="F6" s="30" t="n">
        <x:v>13.2</x:v>
      </x:c>
      <x:c r="G6" s="40" t="n">
        <x:v>1</x:v>
      </x:c>
      <x:c r="H6" s="30" t="n">
        <x:v>711</x:v>
      </x:c>
      <x:c r="I6" s="30" t="n">
        <x:v>647</x:v>
      </x:c>
      <x:c r="J6" s="40" t="n">
        <x:v>-0.09001406469760898</x:v>
      </x:c>
      <x:c r="K6" s="30" t="str">
        <x:v>Akbank shows the strongest digital scaling story: digital users doubled, reported penetration rose sharply, and branch count declined.</x:v>
      </x:c>
    </x:row>
    <x:row r="7">
      <x:c r="A7" s="30" t="str">
        <x:v>İşbank</x:v>
      </x:c>
      <x:c r="B7" s="30" t="n">
        <x:v>20.7</x:v>
      </x:c>
      <x:c r="C7" s="30" t="n">
        <x:v>25.5</x:v>
      </x:c>
      <x:c r="D7" s="40" t="n">
        <x:v>0.23188405797101463</x:v>
      </x:c>
      <x:c r="E7" s="30" t="n">
        <x:v>10.2</x:v>
      </x:c>
      <x:c r="F7" s="30" t="n">
        <x:v>16.2</x:v>
      </x:c>
      <x:c r="G7" s="40" t="n">
        <x:v>0.5882352941176472</x:v>
      </x:c>
      <x:c r="H7" s="30" t="n">
        <x:v>1174</x:v>
      </x:c>
      <x:c r="I7" s="30" t="n">
        <x:v>997</x:v>
      </x:c>
      <x:c r="J7" s="40" t="n">
        <x:v>-0.15076660988074952</x:v>
      </x:c>
      <x:c r="K7" s="30" t="str">
        <x:v>İşbank combines strong digital customer growth with the sharpest branch reduction; 2025 customer base is a proxy, so interpretation should stay directional.</x:v>
      </x:c>
    </x:row>
    <x:row r="10">
      <x:c r="A10" s="35" t="str">
        <x:v>Growth Interpretation</x:v>
      </x:c>
    </x:row>
    <x:row r="11" ht="60" customHeight="1">
      <x:c r="A11" s="13" t="str">
        <x:v>• Garanti BBVA: digital customers grew 63.4% while branches declined 8.8%; it has the largest 2025 digital customer scale.
• Akbank: digital users grew 100.0% while branches declined 9.0%; this is the strongest digital scaling story in the selected peer group.
• İşbank: digital customers grew 58.8% while domestic branches declined 15.1%; this supports a strong branch-to-digital efficiency narrative.
• Important caveat: customer-base definitions differ; use 'reported digital penetration' instead of claiming fully standardized penetration.</x:v>
      </x:c>
    </x:row>
  </x:sheetData>
  <x:mergeCells>
    <x:mergeCell ref="A1:H1"/>
    <x:mergeCell ref="A2:H2"/>
    <x:mergeCell ref="A10:H10"/>
    <x:mergeCell ref="A11:H15"/>
  </x:mergeCells>
  <x:pageMargins left="0.7" right="0.7" top="0.75" bottom="0.75" header="0.3" footer="0.3"/>
  <x:tableParts count="1">
    <x:tablePart xmlns:r="http://schemas.openxmlformats.org/officeDocument/2006/relationships" r:id="R50314dfe3d4a46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28" customHeight="1">
      <x:c r="A1" s="61" t="str">
        <x:v>Reported Digital Penetration Analysis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 ht="42" customHeight="1">
      <x:c r="A2" s="13" t="str">
        <x:v>Reported digital penetration equals reported digital customers divided by reported customer base. It is directional because customer-base definitions differ by bank.</x:v>
      </x:c>
    </x:row>
    <x:row r="4">
      <x:c r="A4" s="22" t="str">
        <x:v>Bank</x:v>
      </x:c>
      <x:c r="B4" s="22" t="str">
        <x:v>2021</x:v>
      </x:c>
      <x:c r="C4" s="22" t="str">
        <x:v>2022</x:v>
      </x:c>
      <x:c r="D4" s="22" t="str">
        <x:v>2023</x:v>
      </x:c>
      <x:c r="E4" s="22" t="str">
        <x:v>2024</x:v>
      </x:c>
      <x:c r="F4" s="22" t="str">
        <x:v>2025</x:v>
      </x:c>
      <x:c r="G4" s="22" t="str">
        <x:v>Change 2021–2025 (pp)</x:v>
      </x:c>
      <x:c r="H4" s="22" t="str">
        <x:v>2025 Interpretation</x:v>
      </x:c>
    </x:row>
    <x:row r="5">
      <x:c r="A5" s="30" t="str">
        <x:v>Garanti BBVA</x:v>
      </x:c>
      <x:c r="B5" s="40" t="n">
        <x:v>0.5417991639622471</x:v>
      </x:c>
      <x:c r="C5" s="40" t="n">
        <x:v>0.5775015424236724</x:v>
      </x:c>
      <x:c r="D5" s="40" t="n">
        <x:v>0.5935411593171471</x:v>
      </x:c>
      <x:c r="E5" s="40" t="n">
        <x:v>0.6031729040557019</x:v>
      </x:c>
      <x:c r="F5" s="40" t="n">
        <x:v>0.5985320317460949</x:v>
      </x:c>
      <x:c r="G5" s="42" t="n">
        <x:v>5.673286778384778</x:v>
      </x:c>
      <x:c r="H5" s="30" t="str">
        <x:v>Stable-high penetration with gradual improvement; lower than Akbank because customer base is total customers, not active customers.</x:v>
      </x:c>
    </x:row>
    <x:row r="6">
      <x:c r="A6" s="30" t="str">
        <x:v>Akbank</x:v>
      </x:c>
      <x:c r="B6" s="40" t="n">
        <x:v>0.6599999999999999</x:v>
      </x:c>
      <x:c r="C6" s="40" t="n">
        <x:v>0.8055555555555555</x:v>
      </x:c>
      <x:c r="D6" s="40" t="n">
        <x:v>0.8549618320610687</x:v>
      </x:c>
      <x:c r="E6" s="40" t="n">
        <x:v>0.8620689655172413</x:v>
      </x:c>
      <x:c r="F6" s="40" t="n">
        <x:v>0.868421052631579</x:v>
      </x:c>
      <x:c r="G6" s="42" t="n">
        <x:v>20.842105263157904</x:v>
      </x:c>
      <x:c r="H6" s="30" t="str">
        <x:v>Highest reported 2025 penetration, but based on active/customer-base disclosures, so comparison must be directional.</x:v>
      </x:c>
    </x:row>
    <x:row r="7">
      <x:c r="A7" s="30" t="str">
        <x:v>İşbank</x:v>
      </x:c>
      <x:c r="B7" s="40" t="n">
        <x:v>0.49275362318840576</x:v>
      </x:c>
      <x:c r="C7" s="40" t="n">
        <x:v>0.5701754385964912</x:v>
      </x:c>
      <x:c r="D7" s="40" t="n">
        <x:v>0.6172839506172839</x:v>
      </x:c>
      <x:c r="E7" s="40" t="n">
        <x:v>0.6679999999999999</x:v>
      </x:c>
      <x:c r="F7" s="40" t="n">
        <x:v>0.6352941176470588</x:v>
      </x:c>
      <x:c r="G7" s="42" t="n">
        <x:v>14.254049445865302</x:v>
      </x:c>
      <x:c r="H7" s="30" t="str">
        <x:v>Strong rise from 49.3% to 63.5%; 2025 uses a customer-base proxy, so avoid over-precision.</x:v>
      </x:c>
    </x:row>
    <x:row r="10">
      <x:c r="A10" s="35" t="str">
        <x:v>Penetration Interpretation</x:v>
      </x:c>
    </x:row>
    <x:row r="11" ht="60" customHeight="1">
      <x:c r="A11" s="13" t="str">
        <x:v>• Akbank reaches the highest reported 2025 digital penetration at 86.8%; however, its denominator is based on active/customer-base disclosures.
• İşbank improves from 49.3% to 63.5%, but 2025 uses a customer-base proxy, so avoid over-precision.
• Garanti improves from 54.2% to 59.9% while using a cleaner total-customer series; its penetration is lower partly because the denominator is broader.
• Best phrasing: 'reported digital penetration' rather than 'true market penetration'.</x:v>
      </x:c>
    </x:row>
  </x:sheetData>
  <x:mergeCells>
    <x:mergeCell ref="A1:H1"/>
    <x:mergeCell ref="A2:H2"/>
    <x:mergeCell ref="A10:H10"/>
    <x:mergeCell ref="A11:H15"/>
  </x:mergeCells>
  <x:pageMargins left="0.7" right="0.7" top="0.75" bottom="0.75" header="0.3" footer="0.3"/>
  <x:tableParts count="1">
    <x:tablePart xmlns:r="http://schemas.openxmlformats.org/officeDocument/2006/relationships" r:id="Rbe4513cbd51c41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</x:cols>
  <x:sheetData>
    <x:row r="1" ht="28" customHeight="1">
      <x:c r="A1" s="61" t="str">
        <x:v>Branch-to-Digital Efficiency Analysis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 ht="42" customHeight="1">
      <x:c r="A2" s="13" t="str">
        <x:v>Digital customers per branch is the strongest project KPI because it links digital scale to physical channel structure.</x:v>
      </x:c>
    </x:row>
    <x:row r="4">
      <x:c r="A4" s="22" t="str">
        <x:v>Bank</x:v>
      </x:c>
      <x:c r="B4" s="22" t="str">
        <x:v>2021 Digital Cust./Branch</x:v>
      </x:c>
      <x:c r="C4" s="22" t="str">
        <x:v>2025 Digital Cust./Branch</x:v>
      </x:c>
      <x:c r="D4" s="22" t="str">
        <x:v>Growth</x:v>
      </x:c>
      <x:c r="E4" s="22" t="str">
        <x:v>2021 Branches</x:v>
      </x:c>
      <x:c r="F4" s="22" t="str">
        <x:v>2025 Branches</x:v>
      </x:c>
      <x:c r="G4" s="22" t="str">
        <x:v>Branch Change</x:v>
      </x:c>
      <x:c r="H4" s="22" t="str">
        <x:v>Interpretation</x:v>
      </x:c>
    </x:row>
    <x:row r="5">
      <x:c r="A5" s="30" t="str">
        <x:v>Garanti BBVA</x:v>
      </x:c>
      <x:c r="B5" s="44" t="n">
        <x:v>12660.72247706422</x:v>
      </x:c>
      <x:c r="C5" s="44" t="n">
        <x:v>22692.766037735848</x:v>
      </x:c>
      <x:c r="D5" s="40" t="n">
        <x:v>0.7923752833888724</x:v>
      </x:c>
      <x:c r="E5" s="30" t="n">
        <x:v>872</x:v>
      </x:c>
      <x:c r="F5" s="30" t="n">
        <x:v>795</x:v>
      </x:c>
      <x:c r="G5" s="40" t="n">
        <x:v>-0.08830275229357798</x:v>
      </x:c>
      <x:c r="H5" s="30" t="str">
        <x:v>Highest 2025 digital customers per branch; this reflects strong digital scale relative to a smaller branch base.</x:v>
      </x:c>
    </x:row>
    <x:row r="6">
      <x:c r="A6" s="30" t="str">
        <x:v>Akbank</x:v>
      </x:c>
      <x:c r="B6" s="44" t="n">
        <x:v>9282.700421940928</x:v>
      </x:c>
      <x:c r="C6" s="44" t="n">
        <x:v>20401.854714064913</x:v>
      </x:c>
      <x:c r="D6" s="40" t="n">
        <x:v>1.1978361669242656</x:v>
      </x:c>
      <x:c r="E6" s="30" t="n">
        <x:v>711</x:v>
      </x:c>
      <x:c r="F6" s="30" t="n">
        <x:v>647</x:v>
      </x:c>
      <x:c r="G6" s="40" t="n">
        <x:v>-0.09001406469760898</x:v>
      </x:c>
      <x:c r="H6" s="30" t="str">
        <x:v>Largest 2021–2025 improvement in digital customers per branch; the metric more than doubled.</x:v>
      </x:c>
    </x:row>
    <x:row r="7">
      <x:c r="A7" s="30" t="str">
        <x:v>İşbank</x:v>
      </x:c>
      <x:c r="B7" s="44" t="n">
        <x:v>8688.24531516184</x:v>
      </x:c>
      <x:c r="C7" s="44" t="n">
        <x:v>16248.746238716149</x:v>
      </x:c>
      <x:c r="D7" s="40" t="n">
        <x:v>0.8701988317894862</x:v>
      </x:c>
      <x:c r="E7" s="30" t="n">
        <x:v>1174</x:v>
      </x:c>
      <x:c r="F7" s="30" t="n">
        <x:v>997</x:v>
      </x:c>
      <x:c r="G7" s="40" t="n">
        <x:v>-0.15076660988074952</x:v>
      </x:c>
      <x:c r="H7" s="30" t="str">
        <x:v>Digital customers per branch rose strongly while branches fell the most; the 2025 customer base is proxy but branch and digital customer metrics are usable.</x:v>
      </x:c>
    </x:row>
    <x:row r="10">
      <x:c r="A10" s="35" t="str">
        <x:v>Branch Efficiency Interpretation</x:v>
      </x:c>
    </x:row>
    <x:row r="11" ht="60" customHeight="1">
      <x:c r="A11" s="13" t="str">
        <x:v>• Garanti has the highest 2025 digital customers per branch at 22.7K.
• Akbank has the strongest improvement: 9.3K to 20.4K, a 119.8% increase.
• İşbank improves from 8.7K to 16.2K while reducing branches by 15.1%, the sharpest branch network decline among the three.
• Interpretation: this KPI supports the thesis that digital banking scale is growing without requiring branch network expansion.</x:v>
      </x:c>
    </x:row>
  </x:sheetData>
  <x:mergeCells>
    <x:mergeCell ref="A1:H1"/>
    <x:mergeCell ref="A2:H2"/>
    <x:mergeCell ref="A10:H10"/>
    <x:mergeCell ref="A11:H15"/>
  </x:mergeCells>
  <x:pageMargins left="0.7" right="0.7" top="0.75" bottom="0.75" header="0.3" footer="0.3"/>
  <x:drawing xmlns:r="http://schemas.openxmlformats.org/officeDocument/2006/relationships" r:id="R19d34dbc2e294dcb"/>
  <x:tableParts count="1">
    <x:tablePart xmlns:r="http://schemas.openxmlformats.org/officeDocument/2006/relationships" r:id="R260a19bdaf0e4ce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</x:cols>
  <x:sheetData>
    <x:row r="1" ht="28" customHeight="1">
      <x:c r="A1" s="61" t="str">
        <x:v>Employee-Scaled Digital Customer Analysis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 ht="42" customHeight="1">
      <x:c r="A2" s="13" t="str">
        <x:v>Digital customers per employee is a directional operational proxy. It should not be presented as full productivity because it ignores role mix, outsourcing, technology spend and service complexity.</x:v>
      </x:c>
    </x:row>
    <x:row r="4">
      <x:c r="A4" s="22" t="str">
        <x:v>Bank</x:v>
      </x:c>
      <x:c r="B4" s="22" t="str">
        <x:v>2021 Digital Cust./Employee</x:v>
      </x:c>
      <x:c r="C4" s="22" t="str">
        <x:v>2025 Digital Cust./Employee</x:v>
      </x:c>
      <x:c r="D4" s="22" t="str">
        <x:v>Growth</x:v>
      </x:c>
      <x:c r="E4" s="22" t="str">
        <x:v>2021 Employees</x:v>
      </x:c>
      <x:c r="F4" s="22" t="str">
        <x:v>2025 Employees</x:v>
      </x:c>
      <x:c r="G4" s="22" t="str">
        <x:v>Employee Change</x:v>
      </x:c>
      <x:c r="H4" s="22" t="str">
        <x:v>Interpretation</x:v>
      </x:c>
    </x:row>
    <x:row r="5">
      <x:c r="A5" s="30" t="str">
        <x:v>Garanti BBVA</x:v>
      </x:c>
      <x:c r="B5" s="44" t="n">
        <x:v>526.6744585440321</x:v>
      </x:c>
      <x:c r="C5" s="44" t="n">
        <x:v>773.9157050319592</x:v>
      </x:c>
      <x:c r="D5" s="40" t="n">
        <x:v>0.469438459520924</x:v>
      </x:c>
      <x:c r="E5" s="30" t="n">
        <x:v>20962</x:v>
      </x:c>
      <x:c r="F5" s="30" t="n">
        <x:v>23311</x:v>
      </x:c>
      <x:c r="G5" s="40" t="n">
        <x:v>0.11205991794676073</x:v>
      </x:c>
      <x:c r="H5" s="30" t="str">
        <x:v>Digital customers per employee improved, but employee count also grew; this is a scale indicator, not a full productivity measure.</x:v>
      </x:c>
    </x:row>
    <x:row r="6">
      <x:c r="A6" s="30" t="str">
        <x:v>Akbank</x:v>
      </x:c>
      <x:c r="B6" s="44" t="n">
        <x:v>550</x:v>
      </x:c>
      <x:c r="C6" s="44" t="n">
        <x:v>1048.367881820348</x:v>
      </x:c>
      <x:c r="D6" s="40" t="n">
        <x:v>0.9061234214915417</x:v>
      </x:c>
      <x:c r="E6" s="30" t="n">
        <x:v>12000</x:v>
      </x:c>
      <x:c r="F6" s="30" t="n">
        <x:v>12591</x:v>
      </x:c>
      <x:c r="G6" s="40" t="n">
        <x:v>0.049250000000000016</x:v>
      </x:c>
      <x:c r="H6" s="30" t="str">
        <x:v>Strongest 2025 digital customers per employee and strongest improvement; early-year employee figures are approximate.</x:v>
      </x:c>
    </x:row>
    <x:row r="7">
      <x:c r="A7" s="30" t="str">
        <x:v>İşbank</x:v>
      </x:c>
      <x:c r="B7" s="44" t="n">
        <x:v>447.3291816507324</x:v>
      </x:c>
      <x:c r="C7" s="44" t="n">
        <x:v>785.2641783809986</x:v>
      </x:c>
      <x:c r="D7" s="40" t="n">
        <x:v>0.7554503721023069</x:v>
      </x:c>
      <x:c r="E7" s="30" t="n">
        <x:v>22802</x:v>
      </x:c>
      <x:c r="F7" s="30" t="n">
        <x:v>20630</x:v>
      </x:c>
      <x:c r="G7" s="40" t="n">
        <x:v>-0.09525480221033245</x:v>
      </x:c>
      <x:c r="H7" s="30" t="str">
        <x:v>Strong improvement despite employee count declining; this supports digital scaling but should be read as a directional proxy.</x:v>
      </x:c>
    </x:row>
    <x:row r="10">
      <x:c r="A10" s="35" t="str">
        <x:v>Employee Efficiency Interpretation</x:v>
      </x:c>
    </x:row>
    <x:row r="11" ht="60" customHeight="1">
      <x:c r="A11" s="13" t="str">
        <x:v>• Akbank leads 2025 employee-scaled digital intensity with roughly 1,048 digital users per employee.
• İşbank improves strongly to roughly 785 digital customers per employee, partly because employees declined while digital customers grew.
• Garanti improves to roughly 774 digital customers per employee, but employee count also rises over the period.
• Use this metric as a proxy for digital scale relative to headcount, not as a final productivity ranking.</x:v>
      </x:c>
    </x:row>
  </x:sheetData>
  <x:mergeCells>
    <x:mergeCell ref="A1:H1"/>
    <x:mergeCell ref="A2:H2"/>
    <x:mergeCell ref="A10:H10"/>
    <x:mergeCell ref="A11:H15"/>
  </x:mergeCells>
  <x:pageMargins left="0.7" right="0.7" top="0.75" bottom="0.75" header="0.3" footer="0.3"/>
  <x:tableParts count="1">
    <x:tablePart xmlns:r="http://schemas.openxmlformats.org/officeDocument/2006/relationships" r:id="Rb57924c46cb54fa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</x:cols>
  <x:sheetData>
    <x:row r="1" ht="28" customHeight="1">
      <x:c r="A1" s="60" t="str">
        <x:v>Directional Digital Adoption Index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42" customHeight="1">
      <x:c r="A2" s="13" t="str">
        <x:v>This index uses only core metrics and excludes mobile/app users and POS. It is a project-specific directional framework, not an official ranking.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91" t="str">
        <x:v>Component</x:v>
      </x:c>
      <x:c r="B4" s="91" t="str">
        <x:v>Weight</x:v>
      </x:c>
      <x:c r="C4" s="91" t="str">
        <x:v>Reason</x:v>
      </x:c>
      <x:c r="D4" s="86"/>
      <x:c r="E4" s="86"/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30" t="str">
        <x:v>Reported Digital Penetration</x:v>
      </x:c>
      <x:c r="B5" s="46" t="n">
        <x:v>0.3</x:v>
      </x:c>
      <x:c r="C5" s="30" t="str">
        <x:v>Measures how much of the reported customer base is digitally active.</x:v>
      </x:c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30" t="str">
        <x:v>Digital Customers per Branch</x:v>
      </x:c>
      <x:c r="B6" s="46" t="n">
        <x:v>0.3</x:v>
      </x:c>
      <x:c r="C6" s="30" t="str">
        <x:v>Measures digital scale relative to physical branch network.</x:v>
      </x:c>
      <x:c r="D6" s="86"/>
      <x:c r="E6" s="86"/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30" t="str">
        <x:v>Digital Customers per Employee</x:v>
      </x:c>
      <x:c r="B7" s="46" t="n">
        <x:v>0.2</x:v>
      </x:c>
      <x:c r="C7" s="30" t="str">
        <x:v>Directional scale-to-headcount proxy.</x:v>
      </x:c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30" t="str">
        <x:v>Digital Customer Growth 2021–2025</x:v>
      </x:c>
      <x:c r="B8" s="46" t="n">
        <x:v>0.2</x:v>
      </x:c>
      <x:c r="C8" s="30" t="str">
        <x:v>Measures digital customer scaling over the full project period.</x:v>
      </x:c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91" t="str">
        <x:v>Rank</x:v>
      </x:c>
      <x:c r="B11" s="91" t="str">
        <x:v>Bank</x:v>
      </x:c>
      <x:c r="C11" s="91" t="str">
        <x:v>Directional Digital Adoption Index</x:v>
      </x:c>
      <x:c r="D11" s="91" t="str">
        <x:v>Reported Digital Penetration</x:v>
      </x:c>
      <x:c r="E11" s="91" t="str">
        <x:v>Digital Cust./Branch</x:v>
      </x:c>
      <x:c r="F11" s="91" t="str">
        <x:v>Digital Cust./Employee</x:v>
      </x:c>
      <x:c r="G11" s="91" t="str">
        <x:v>Digital Customer Growth 2021–2025</x:v>
      </x:c>
      <x:c r="H11" s="91" t="str">
        <x:v>Why this score?</x:v>
      </x:c>
      <x:c r="I11" s="91" t="str">
        <x:v>Data caveat</x:v>
      </x:c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30" t="n">
        <x:v>1</x:v>
      </x:c>
      <x:c r="B12" s="30" t="str">
        <x:v>Akbank</x:v>
      </x:c>
      <x:c r="C12" s="42" t="n">
        <x:v>89.33471003292335</x:v>
      </x:c>
      <x:c r="D12" s="40" t="n">
        <x:v>0.868421052631579</x:v>
      </x:c>
      <x:c r="E12" s="44" t="n">
        <x:v>20401.854714064913</x:v>
      </x:c>
      <x:c r="F12" s="44" t="n">
        <x:v>1048.367881820348</x:v>
      </x:c>
      <x:c r="G12" s="40" t="n">
        <x:v>1</x:v>
      </x:c>
      <x:c r="H12" s="30" t="str">
        <x:v>Scores highest because it leads reported penetration, employee-scaled digital customer intensity, and 2021–2025 digital customer growth.</x:v>
      </x:c>
      <x:c r="I12" s="30" t="str">
        <x:v>Exact/Reported customer base; Reported digital customers</x:v>
      </x:c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30" t="n">
        <x:v>2</x:v>
      </x:c>
      <x:c r="B13" s="30" t="str">
        <x:v>Garanti BBVA</x:v>
      </x:c>
      <x:c r="C13" s="42" t="n">
        <x:v>32.22788976081459</x:v>
      </x:c>
      <x:c r="D13" s="40" t="n">
        <x:v>0.5985320317460949</x:v>
      </x:c>
      <x:c r="E13" s="44" t="n">
        <x:v>22692.766037735848</x:v>
      </x:c>
      <x:c r="F13" s="44" t="n">
        <x:v>773.9157050319592</x:v>
      </x:c>
      <x:c r="G13" s="40" t="n">
        <x:v>0.6341036127226534</x:v>
      </x:c>
      <x:c r="H13" s="30" t="str">
        <x:v>Scores second because it leads digital customers per branch and has the largest reported digital customer scale, but lower reported penetration and growth reduce the index.</x:v>
      </x:c>
      <x:c r="I13" s="30" t="str">
        <x:v>Exact customer base; Exact/Reported digital customers</x:v>
      </x:c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30" t="n">
        <x:v>3</x:v>
      </x:c>
      <x:c r="B14" s="30" t="str">
        <x:v>İşbank</x:v>
      </x:c>
      <x:c r="C14" s="42" t="n">
        <x:v>4.913346793487234</x:v>
      </x:c>
      <x:c r="D14" s="40" t="n">
        <x:v>0.6352941176470588</x:v>
      </x:c>
      <x:c r="E14" s="44" t="n">
        <x:v>16248.746238716149</x:v>
      </x:c>
      <x:c r="F14" s="44" t="n">
        <x:v>785.2641783809986</x:v>
      </x:c>
      <x:c r="G14" s="40" t="n">
        <x:v>0.5882352941176472</x:v>
      </x:c>
      <x:c r="H14" s="30" t="str">
        <x:v>Scores third under this specific index because it has the lowest branch-scaled digital customer intensity and lowest 2021–2025 growth among the three; 2025 customer base is proxy.</x:v>
      </x:c>
      <x:c r="I14" s="30" t="str">
        <x:v>Proxy customer base; Reported digital customers</x:v>
      </x:c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92" t="str">
        <x:v>Index Interpretation</x:v>
      </x:c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 ht="60" customHeight="1">
      <x:c r="A18" s="13" t="str">
        <x:v>• Akbank ranks first mainly because it leads the project-specific index in reported penetration, digital customers per employee and total digital customer growth.
• Garanti ranks second because it leads in digital customers per branch and total digital customer scale, but scores lower on penetration and growth normalization.
• İşbank ranks third under this narrow index, but it remains strategically relevant because it shows strong non-branch channel indicators and the sharpest branch reduction.
• Do not say 'Akbank is the most digital bank in Turkey.' Say: 'Akbank leads this project-specific directional index based on selected public indicators.'</x:v>
      </x:c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93" t="str">
        <x:v>Additional robustness note</x:v>
      </x:c>
      <x:c r="B20" s="93"/>
      <x:c r="C20" s="93"/>
      <x:c r="D20" s="93"/>
      <x:c r="E20" s="93"/>
      <x:c r="F20" s="93"/>
      <x:c r="G20" s="93"/>
      <x:c r="H20" s="93"/>
      <x:c r="I20" s="93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30" t="str">
        <x:v>The enhanced workbook adds an Index_Sensitivity sheet that compares the base 30/30/20/20 weighting with an equal-weight 25/25/25/25 scenario.</x:v>
      </x:c>
      <x:c r="B21" s="30"/>
      <x:c r="C21" s="30"/>
      <x:c r="D21" s="30"/>
      <x:c r="E21" s="30"/>
      <x:c r="F21" s="30"/>
      <x:c r="G21" s="30"/>
      <x:c r="H21" s="30"/>
      <x:c r="I21" s="30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30" t="str">
        <x:v>Under this simple sensitivity check, the rank order remains stable. This improves confidence in the directional reading but does not make the index official or definitive.</x:v>
      </x:c>
      <x:c r="B22" s="30"/>
      <x:c r="C22" s="30"/>
      <x:c r="D22" s="30"/>
      <x:c r="E22" s="30"/>
      <x:c r="F22" s="30"/>
      <x:c r="G22" s="30"/>
      <x:c r="H22" s="30"/>
      <x:c r="I22" s="30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30" t="str">
        <x:v>Safe wording remains: 'Akbank leads this project-specific directional index based on selected public indicators and core comparable metrics.'</x:v>
      </x:c>
      <x:c r="B23" s="30"/>
      <x:c r="C23" s="30"/>
      <x:c r="D23" s="30"/>
      <x:c r="E23" s="30"/>
      <x:c r="F23" s="30"/>
      <x:c r="G23" s="30"/>
      <x:c r="H23" s="30"/>
      <x:c r="I23" s="30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</x:sheetData>
  <x:mergeCells>
    <x:mergeCell ref="A1:H1"/>
    <x:mergeCell ref="A2:H2"/>
    <x:mergeCell ref="A17:H17"/>
    <x:mergeCell ref="A18:H22"/>
    <x:mergeCell ref="A20:I20"/>
  </x:mergeCells>
  <x:pageMargins left="0.7" right="0.7" top="0.75" bottom="0.75" header="0.3" footer="0.3"/>
  <x:drawing xmlns:r="http://schemas.openxmlformats.org/officeDocument/2006/relationships" r:id="Rac2824767bc840f3"/>
  <x:tableParts count="2">
    <x:tablePart xmlns:r="http://schemas.openxmlformats.org/officeDocument/2006/relationships" r:id="Re6dcb9b94fe04d15"/>
    <x:tablePart xmlns:r="http://schemas.openxmlformats.org/officeDocument/2006/relationships" r:id="Rf49f51b4dae346d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4" hidden="0" customWidth="1"/>
    <x:col min="5" max="5" width="44" hidden="0" customWidth="1"/>
  </x:cols>
  <x:sheetData>
    <x:row r="1" ht="28" customHeight="1">
      <x:c r="A1" s="61" t="str">
        <x:v>Supporting Mobile / Channel Indicators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 ht="42" customHeight="1">
      <x:c r="A2" s="13" t="str">
        <x:v>These metrics support the mobile-first and channel migration story but are excluded from the core benchmark because definitions differ across banks.</x:v>
      </x:c>
    </x:row>
    <x:row r="4">
      <x:c r="A4" s="22" t="str">
        <x:v>Bank</x:v>
      </x:c>
      <x:c r="B4" s="22" t="str">
        <x:v>Year</x:v>
      </x:c>
      <x:c r="C4" s="22" t="str">
        <x:v>Mobile Transaction Share</x:v>
      </x:c>
      <x:c r="D4" s="22" t="str">
        <x:v>Interpretation</x:v>
      </x:c>
    </x:row>
    <x:row r="5">
      <x:c r="A5" s="30" t="str">
        <x:v>Akbank</x:v>
      </x:c>
      <x:c r="B5" s="30" t="n">
        <x:v>2021</x:v>
      </x:c>
      <x:c r="C5" s="40" t="n">
        <x:v>0.5623196468706742</x:v>
      </x:c>
      <x:c r="D5" s="30" t="str">
        <x:v>Mobile transaction share is calculated from Akbank ATM, internet and mobile transaction counts; it shows transaction behavior, not mobile customer count.</x:v>
      </x:c>
    </x:row>
    <x:row r="6">
      <x:c r="A6" s="30" t="str">
        <x:v>Akbank</x:v>
      </x:c>
      <x:c r="B6" s="30" t="n">
        <x:v>2022</x:v>
      </x:c>
      <x:c r="C6" s="40" t="n">
        <x:v>0.6438410593579733</x:v>
      </x:c>
      <x:c r="D6" s="30" t="str">
        <x:v>Mobile transaction share is calculated from Akbank ATM, internet and mobile transaction counts; it shows transaction behavior, not mobile customer count.</x:v>
      </x:c>
    </x:row>
    <x:row r="7">
      <x:c r="A7" s="30" t="str">
        <x:v>Akbank</x:v>
      </x:c>
      <x:c r="B7" s="30" t="n">
        <x:v>2023</x:v>
      </x:c>
      <x:c r="C7" s="40" t="n">
        <x:v>0.7637210583097328</x:v>
      </x:c>
      <x:c r="D7" s="30" t="str">
        <x:v>Mobile transaction share is calculated from Akbank ATM, internet and mobile transaction counts; it shows transaction behavior, not mobile customer count.</x:v>
      </x:c>
    </x:row>
    <x:row r="8">
      <x:c r="A8" s="30" t="str">
        <x:v>Akbank</x:v>
      </x:c>
      <x:c r="B8" s="30" t="n">
        <x:v>2024</x:v>
      </x:c>
      <x:c r="C8" s="40" t="n">
        <x:v>0.7882600830292871</x:v>
      </x:c>
      <x:c r="D8" s="30" t="str">
        <x:v>Mobile transaction share is calculated from Akbank ATM, internet and mobile transaction counts; it shows transaction behavior, not mobile customer count.</x:v>
      </x:c>
    </x:row>
    <x:row r="9">
      <x:c r="A9" s="30" t="str">
        <x:v>Akbank</x:v>
      </x:c>
      <x:c r="B9" s="30" t="n">
        <x:v>2025</x:v>
      </x:c>
      <x:c r="C9" s="40" t="n">
        <x:v>0.802669996671528</x:v>
      </x:c>
      <x:c r="D9" s="30" t="str">
        <x:v>Mobile transaction share is calculated from Akbank ATM, internet and mobile transaction counts; it shows transaction behavior, not mobile customer count.</x:v>
      </x:c>
    </x:row>
    <x:row r="12">
      <x:c r="A12" s="22" t="str">
        <x:v>Bank</x:v>
      </x:c>
      <x:c r="B12" s="22" t="str">
        <x:v>Year</x:v>
      </x:c>
      <x:c r="C12" s="22" t="str">
        <x:v>Mobile Banking Customers (M)</x:v>
      </x:c>
      <x:c r="D12" s="22" t="str">
        <x:v>Interpretation</x:v>
      </x:c>
    </x:row>
    <x:row r="13">
      <x:c r="A13" s="30" t="str">
        <x:v>Garanti BBVA</x:v>
      </x:c>
      <x:c r="B13" s="30" t="n">
        <x:v>2021</x:v>
      </x:c>
      <x:c r="C13" s="42" t="n">
        <x:v>10.608777</x:v>
      </x:c>
      <x:c r="D13" s="30" t="str">
        <x:v>Mobile customer disclosure supports Garanti's mobile-first digital scale but is excluded from core scoring due to Akbank missing equivalent user series.</x:v>
      </x:c>
    </x:row>
    <x:row r="14">
      <x:c r="A14" s="30" t="str">
        <x:v>Garanti BBVA</x:v>
      </x:c>
      <x:c r="B14" s="30" t="n">
        <x:v>2022</x:v>
      </x:c>
      <x:c r="C14" s="42" t="n">
        <x:v>13.032549</x:v>
      </x:c>
      <x:c r="D14" s="30" t="str">
        <x:v>Mobile customer disclosure supports Garanti's mobile-first digital scale but is excluded from core scoring due to Akbank missing equivalent user series.</x:v>
      </x:c>
    </x:row>
    <x:row r="15">
      <x:c r="A15" s="30" t="str">
        <x:v>Garanti BBVA</x:v>
      </x:c>
      <x:c r="B15" s="30" t="n">
        <x:v>2023</x:v>
      </x:c>
      <x:c r="C15" s="42" t="n">
        <x:v>14.76862</x:v>
      </x:c>
      <x:c r="D15" s="30" t="str">
        <x:v>Mobile customer disclosure supports Garanti's mobile-first digital scale but is excluded from core scoring due to Akbank missing equivalent user series.</x:v>
      </x:c>
    </x:row>
    <x:row r="16">
      <x:c r="A16" s="30" t="str">
        <x:v>Garanti BBVA</x:v>
      </x:c>
      <x:c r="B16" s="30" t="n">
        <x:v>2024</x:v>
      </x:c>
      <x:c r="C16" s="42" t="n">
        <x:v>16.520118</x:v>
      </x:c>
      <x:c r="D16" s="30" t="str">
        <x:v>Mobile customer disclosure supports Garanti's mobile-first digital scale but is excluded from core scoring due to Akbank missing equivalent user series.</x:v>
      </x:c>
    </x:row>
    <x:row r="17">
      <x:c r="A17" s="30" t="str">
        <x:v>Garanti BBVA</x:v>
      </x:c>
      <x:c r="B17" s="30" t="n">
        <x:v>2025</x:v>
      </x:c>
      <x:c r="C17" s="42" t="n">
        <x:v>17.893337</x:v>
      </x:c>
      <x:c r="D17" s="30" t="str">
        <x:v>Mobile customer disclosure supports Garanti's mobile-first digital scale but is excluded from core scoring due to Akbank missing equivalent user series.</x:v>
      </x:c>
    </x:row>
    <x:row r="21">
      <x:c r="A21" s="22" t="str">
        <x:v>Bank</x:v>
      </x:c>
      <x:c r="B21" s="22" t="str">
        <x:v>Year</x:v>
      </x:c>
      <x:c r="C21" s="22" t="str">
        <x:v>İşCep Users (M) / Ratio</x:v>
      </x:c>
      <x:c r="D21" s="22" t="str">
        <x:v>Indicator</x:v>
      </x:c>
      <x:c r="E21" s="22" t="str">
        <x:v>Interpretation</x:v>
      </x:c>
    </x:row>
    <x:row r="22">
      <x:c r="A22" s="30" t="str">
        <x:v>İşbank</x:v>
      </x:c>
      <x:c r="B22" s="30" t="n">
        <x:v>2021</x:v>
      </x:c>
      <x:c r="C22" s="30" t="n">
        <x:v>10</x:v>
      </x:c>
      <x:c r="D22" s="30" t="str">
        <x:v>iscep_users</x:v>
      </x:c>
      <x:c r="E22" s="30" t="str">
        <x:v>Supports İşbank mobile/non-branch channel strength; kept outside core score due to mixed definitions.</x:v>
      </x:c>
    </x:row>
    <x:row r="23">
      <x:c r="A23" s="30" t="str">
        <x:v>İşbank</x:v>
      </x:c>
      <x:c r="B23" s="30" t="n">
        <x:v>2021</x:v>
      </x:c>
      <x:c r="C23" s="30" t="n">
        <x:v>95.6</x:v>
      </x:c>
      <x:c r="D23" s="30" t="str">
        <x:v>non_branch_transaction_ratio</x:v>
      </x:c>
      <x:c r="E23" s="30" t="str">
        <x:v>Supports İşbank mobile/non-branch channel strength; kept outside core score due to mixed definitions.</x:v>
      </x:c>
    </x:row>
    <x:row r="24">
      <x:c r="A24" s="30" t="str">
        <x:v>İşbank</x:v>
      </x:c>
      <x:c r="B24" s="30" t="n">
        <x:v>2022</x:v>
      </x:c>
      <x:c r="C24" s="30" t="n">
        <x:v>11.9</x:v>
      </x:c>
      <x:c r="D24" s="30" t="str">
        <x:v>iscep_users</x:v>
      </x:c>
      <x:c r="E24" s="30" t="str">
        <x:v>Supports İşbank mobile/non-branch channel strength; kept outside core score due to mixed definitions.</x:v>
      </x:c>
    </x:row>
    <x:row r="25">
      <x:c r="A25" s="30" t="str">
        <x:v>İşbank</x:v>
      </x:c>
      <x:c r="B25" s="30" t="n">
        <x:v>2022</x:v>
      </x:c>
      <x:c r="C25" s="30" t="n">
        <x:v>96.2</x:v>
      </x:c>
      <x:c r="D25" s="30" t="str">
        <x:v>non_branch_transaction_ratio</x:v>
      </x:c>
      <x:c r="E25" s="30" t="str">
        <x:v>Supports İşbank mobile/non-branch channel strength; kept outside core score due to mixed definitions.</x:v>
      </x:c>
    </x:row>
    <x:row r="26">
      <x:c r="A26" s="30" t="str">
        <x:v>İşbank</x:v>
      </x:c>
      <x:c r="B26" s="30" t="n">
        <x:v>2023</x:v>
      </x:c>
      <x:c r="C26" s="30" t="n">
        <x:v>13.7</x:v>
      </x:c>
      <x:c r="D26" s="30" t="str">
        <x:v>iscep_users</x:v>
      </x:c>
      <x:c r="E26" s="30" t="str">
        <x:v>Supports İşbank mobile/non-branch channel strength; kept outside core score due to mixed definitions.</x:v>
      </x:c>
    </x:row>
    <x:row r="27">
      <x:c r="A27" s="30" t="str">
        <x:v>İşbank</x:v>
      </x:c>
      <x:c r="B27" s="30" t="n">
        <x:v>2023</x:v>
      </x:c>
      <x:c r="C27" s="30" t="n">
        <x:v>97</x:v>
      </x:c>
      <x:c r="D27" s="30" t="str">
        <x:v>non_branch_transaction_ratio</x:v>
      </x:c>
      <x:c r="E27" s="30" t="str">
        <x:v>Supports İşbank mobile/non-branch channel strength; kept outside core score due to mixed definitions.</x:v>
      </x:c>
    </x:row>
    <x:row r="28">
      <x:c r="A28" s="30" t="str">
        <x:v>İşbank</x:v>
      </x:c>
      <x:c r="B28" s="30" t="n">
        <x:v>2024</x:v>
      </x:c>
      <x:c r="C28" s="30" t="n">
        <x:v>15.2</x:v>
      </x:c>
      <x:c r="D28" s="30" t="str">
        <x:v>iscep_users</x:v>
      </x:c>
      <x:c r="E28" s="30" t="str">
        <x:v>Supports İşbank mobile/non-branch channel strength; kept outside core score due to mixed definitions.</x:v>
      </x:c>
    </x:row>
    <x:row r="29">
      <x:c r="A29" s="30" t="str">
        <x:v>İşbank</x:v>
      </x:c>
      <x:c r="B29" s="30" t="n">
        <x:v>2024</x:v>
      </x:c>
      <x:c r="C29" s="30" t="n">
        <x:v>97</x:v>
      </x:c>
      <x:c r="D29" s="30" t="str">
        <x:v>non_branch_transaction_ratio</x:v>
      </x:c>
      <x:c r="E29" s="30" t="str">
        <x:v>Supports İşbank mobile/non-branch channel strength; kept outside core score due to mixed definitions.</x:v>
      </x:c>
    </x:row>
    <x:row r="30">
      <x:c r="A30" s="30" t="str">
        <x:v>İşbank</x:v>
      </x:c>
      <x:c r="B30" s="30" t="n">
        <x:v>2025</x:v>
      </x:c>
      <x:c r="C30" s="30" t="n">
        <x:v>15.9</x:v>
      </x:c>
      <x:c r="D30" s="30" t="str">
        <x:v>iscep_users</x:v>
      </x:c>
      <x:c r="E30" s="30" t="str">
        <x:v>Supports İşbank mobile/non-branch channel strength; kept outside core score due to mixed definitions.</x:v>
      </x:c>
    </x:row>
    <x:row r="31">
      <x:c r="A31" s="30" t="str">
        <x:v>İşbank</x:v>
      </x:c>
      <x:c r="B31" s="30" t="n">
        <x:v>2025</x:v>
      </x:c>
      <x:c r="C31" s="30" t="n">
        <x:v>96.5</x:v>
      </x:c>
      <x:c r="D31" s="30" t="str">
        <x:v>non_branch_transaction_ratio</x:v>
      </x:c>
      <x:c r="E31" s="30" t="str">
        <x:v>Supports İşbank mobile/non-branch channel strength; kept outside core score due to mixed definitions.</x:v>
      </x:c>
    </x:row>
    <x:row r="32">
      <x:c r="A32" s="30" t="str">
        <x:v>İşbank</x:v>
      </x:c>
      <x:c r="B32" s="30" t="n">
        <x:v>2022</x:v>
      </x:c>
      <x:c r="C32" s="30" t="n">
        <x:v>73.2</x:v>
      </x:c>
      <x:c r="D32" s="30" t="str">
        <x:v>iscep_transaction_share</x:v>
      </x:c>
      <x:c r="E32" s="30" t="str">
        <x:v>Supports İşbank mobile/non-branch channel strength; kept outside core score due to mixed definitions.</x:v>
      </x:c>
    </x:row>
    <x:row r="33">
      <x:c r="A33" s="30" t="str">
        <x:v>İşbank</x:v>
      </x:c>
      <x:c r="B33" s="30" t="n">
        <x:v>2023</x:v>
      </x:c>
      <x:c r="C33" s="30" t="n">
        <x:v>75.26</x:v>
      </x:c>
      <x:c r="D33" s="30" t="str">
        <x:v>iscep_transaction_share</x:v>
      </x:c>
      <x:c r="E33" s="30" t="str">
        <x:v>Supports İşbank mobile/non-branch channel strength; kept outside core score due to mixed definitions.</x:v>
      </x:c>
    </x:row>
    <x:row r="34">
      <x:c r="A34" s="30" t="str">
        <x:v>İşbank</x:v>
      </x:c>
      <x:c r="B34" s="30" t="n">
        <x:v>2024</x:v>
      </x:c>
      <x:c r="C34" s="30" t="n">
        <x:v>77.8</x:v>
      </x:c>
      <x:c r="D34" s="30" t="str">
        <x:v>iscep_transaction_share</x:v>
      </x:c>
      <x:c r="E34" s="30" t="str">
        <x:v>Supports İşbank mobile/non-branch channel strength; kept outside core score due to mixed definitions.</x:v>
      </x:c>
    </x:row>
    <x:row r="45">
      <x:c r="A45" s="35" t="str">
        <x:v>Supporting Indicator Interpretation</x:v>
      </x:c>
    </x:row>
    <x:row r="46" ht="60" customHeight="1">
      <x:c r="A46" s="13" t="str">
        <x:v>• Mobile/app data still strengthens the narrative; it just should not drive a cross-bank score.
• Akbank's best mobile signal is transaction behavior, not mobile user count.
• Garanti and İşbank have mobile/app user data, but the definitions are not identical enough to make them core scoring metrics.
• This separation is a strength: it shows that the analysis distinguishes comparable KPIs from directional indicators.</x:v>
      </x:c>
    </x:row>
  </x:sheetData>
  <x:mergeCells>
    <x:mergeCell ref="A1:H1"/>
    <x:mergeCell ref="A2:H2"/>
    <x:mergeCell ref="A45:H45"/>
    <x:mergeCell ref="A46:H50"/>
  </x:mergeCells>
  <x:pageMargins left="0.7" right="0.7" top="0.75" bottom="0.75" header="0.3" footer="0.3"/>
  <x:tableParts count="3">
    <x:tablePart xmlns:r="http://schemas.openxmlformats.org/officeDocument/2006/relationships" r:id="Rec10452ac0ea4771"/>
    <x:tablePart xmlns:r="http://schemas.openxmlformats.org/officeDocument/2006/relationships" r:id="Re01a6207164e4f51"/>
    <x:tablePart xmlns:r="http://schemas.openxmlformats.org/officeDocument/2006/relationships" r:id="R983aaea9e0134bc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</x:cols>
  <x:sheetData>
    <x:row r="1" ht="28" customHeight="1">
      <x:c r="A1" s="61" t="str">
        <x:v>Final Findings and Dashboard Recommendations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 ht="42" customHeight="1">
      <x:c r="A2" s="13" t="str">
        <x:v>This sheet converts the analysis into dashboard-ready findings, project interpretation, and interview language.</x:v>
      </x:c>
    </x:row>
    <x:row r="4">
      <x:c r="A4" s="22" t="str">
        <x:v>Finding</x:v>
      </x:c>
      <x:c r="B4" s="22" t="str">
        <x:v>Evidence</x:v>
      </x:c>
      <x:c r="C4" s="22" t="str">
        <x:v>Interpretation</x:v>
      </x:c>
      <x:c r="D4" s="22" t="str">
        <x:v>Recommended Dashboard Page</x:v>
      </x:c>
    </x:row>
    <x:row r="5">
      <x:c r="A5" s="30" t="str">
        <x:v>1. Sector became mobile-first</x:v>
      </x:c>
      <x:c r="B5" s="30" t="str">
        <x:v>TBB mobile-only share rose from 84.6% in 2021 to 93.8% in 2025.</x:v>
      </x:c>
      <x:c r="C5" s="30" t="str">
        <x:v>The sector-wide customer behavior shift is clearly toward mobile-only digital banking.</x:v>
      </x:c>
      <x:c r="D5" s="30" t="str">
        <x:v>Sector Digital Banking Trend</x:v>
      </x:c>
    </x:row>
    <x:row r="6">
      <x:c r="A6" s="30" t="str">
        <x:v>2. Internet-only banking is residual</x:v>
      </x:c>
      <x:c r="B6" s="30" t="str">
        <x:v>TBB internet-only share fell from 3.5% to 0.8%.</x:v>
      </x:c>
      <x:c r="C6" s="30" t="str">
        <x:v>Standalone internet banking is no longer a major active digital behavior category.</x:v>
      </x:c>
      <x:c r="D6" s="30" t="str">
        <x:v>Sector Digital Banking Trend</x:v>
      </x:c>
    </x:row>
    <x:row r="7">
      <x:c r="A7" s="30" t="str">
        <x:v>3. Akbank has the strongest digital scaling story</x:v>
      </x:c>
      <x:c r="B7" s="30" t="str">
        <x:v>Digital users doubled from 6.6M to 13.2M; penetration rose from ~66.0% to 86.8%.</x:v>
      </x:c>
      <x:c r="C7" s="30" t="str">
        <x:v>Akbank shows the clearest conversion of customer base into digital users, but early years use approximate active customer disclosures.</x:v>
      </x:c>
      <x:c r="D7" s="30" t="str">
        <x:v>Bank Benchmark / Adoption Index</x:v>
      </x:c>
    </x:row>
    <x:row r="8">
      <x:c r="A8" s="30" t="str">
        <x:v>4. Garanti has largest reported digital scale</x:v>
      </x:c>
      <x:c r="B8" s="30" t="str">
        <x:v>2025 reported digital banking customers: Garanti 18.0M vs İşbank 16.2M vs Akbank 13.2M.</x:v>
      </x:c>
      <x:c r="C8" s="30" t="str">
        <x:v>Garanti leads in absolute reported digital customer scale among the selected peer group.</x:v>
      </x:c>
      <x:c r="D8" s="30" t="str">
        <x:v>Bank Benchmark</x:v>
      </x:c>
    </x:row>
    <x:row r="9">
      <x:c r="A9" s="30" t="str">
        <x:v>5. Branch-to-digital efficiency improved across all banks</x:v>
      </x:c>
      <x:c r="B9" s="30" t="str">
        <x:v>Digital customers per branch increased strongly for Garanti, Akbank and İşbank.</x:v>
      </x:c>
      <x:c r="C9" s="30" t="str">
        <x:v>Digital scale grew while branch networks were stable or shrinking, supporting a channel migration thesis.</x:v>
      </x:c>
      <x:c r="D9" s="30" t="str">
        <x:v>Branch-to-Digital Efficiency</x:v>
      </x:c>
    </x:row>
    <x:row r="10">
      <x:c r="A10" s="30" t="str">
        <x:v>6. Akbank leads the directional index</x:v>
      </x:c>
      <x:c r="B10" s="30" t="str">
        <x:v>Akbank scores 89.3 under the project-specific index.</x:v>
      </x:c>
      <x:c r="C10" s="30" t="str">
        <x:v>The result is driven by penetration, growth, and employee-scaled digital intensity; the index is directional, not an official ranking.</x:v>
      </x:c>
      <x:c r="D10" s="30" t="str">
        <x:v>Adoption Index</x:v>
      </x:c>
    </x:row>
    <x:row r="11">
      <x:c r="A11" s="30" t="str">
        <x:v>7. Supporting mobile indicators still matter</x:v>
      </x:c>
      <x:c r="B11" s="30" t="str">
        <x:v>Garanti mobile customers, İşbank İşCep users, and Akbank mobile transaction share all support mobile-first behavior.</x:v>
      </x:c>
      <x:c r="C11" s="30" t="str">
        <x:v>Mobile/app users were excluded from core scoring due to disclosure inconsistency, but they remain valuable qualitative/channel signals.</x:v>
      </x:c>
      <x:c r="D11" s="30" t="str">
        <x:v>Supporting Channel Signals</x:v>
      </x:c>
    </x:row>
    <x:row r="12">
      <x:c r="A12" s="30" t="str">
        <x:v>8. Data quality discipline is part of the project value</x:v>
      </x:c>
      <x:c r="B12" s="30" t="str">
        <x:v>Mobile/app and POS metrics were kept outside the core index; İşbank 2025 customer base is proxy.</x:v>
      </x:c>
      <x:c r="C12" s="30" t="str">
        <x:v>The project does not force non-comparable metrics into one score, which makes it more defensible.</x:v>
      </x:c>
      <x:c r="D12" s="30" t="str">
        <x:v>Methodology / Limitations</x:v>
      </x:c>
    </x:row>
    <x:row r="15">
      <x:c r="A15" s="35" t="str">
        <x:v>Dashboard Page Recommendations</x:v>
      </x:c>
    </x:row>
    <x:row r="16" ht="75" customHeight="1">
      <x:c r="A16" s="13" t="str">
        <x:v>• Page 1 — Executive Overview: show sector mobile-first headline, selected-bank 2025 snapshot, and Digital Adoption Index.
• Page 2 — Sector Trend: TBB active digital customers, mobile-only share, internet-only share, and YoY growth.
• Page 3 — Bank Benchmark: digital customers, reported digital penetration, customer base, branches, employees and ATMs.
• Page 4 — Branch-to-Digital Efficiency: digital customers per branch, branch change and digital customer growth.
• Page 5 — Strategic Insights: mobile-first onboarding, branch repositioning, and digital customers per branch as an operational KPI.</x:v>
      </x:c>
    </x:row>
    <x:row r="25">
      <x:c r="A25" s="35" t="str">
        <x:v>CV-ready Project Bullets</x:v>
      </x:c>
    </x:row>
    <x:row r="26" ht="45" customHeight="1">
      <x:c r="A26" s="13" t="str">
        <x:v>• CV bullet 1: Analyzed Turkish digital banking adoption using TBB sector statistics and public disclosures from Garanti BBVA, Akbank and İşbank for 2021–2025.
• CV bullet 2: Built KPI tables and a Power BI-ready dataset covering reported digital customer growth, reported digital penetration and branch-to-digital efficiency.
• CV bullet 3: Developed a project-specific Directional Digital Adoption Index using comparable core metrics while separating non-standard mobile/app and POS indicators into supporting analysis.</x:v>
      </x:c>
    </x:row>
    <x:row r="33">
      <x:c r="A33" s="35" t="str">
        <x:v>Interview-ready Talk Track</x:v>
      </x:c>
    </x:row>
    <x:row r="34" ht="45" customHeight="1">
      <x:c r="A34" s="13" t="str">
        <x:v>• 30-second interview version: I analyzed Turkey’s digital banking adoption from 2021 to 2025 using TBB sector data and public disclosures from Garanti BBVA, Akbank and İşbank. I separated comparable core metrics from non-standard supporting indicators, built KPIs such as reported digital penetration and digital customers per branch, and created a directional Digital Adoption Index to compare selected banks.</x:v>
      </x:c>
    </x:row>
  </x:sheetData>
  <x:mergeCells>
    <x:mergeCell ref="A1:H1"/>
    <x:mergeCell ref="A2:H2"/>
    <x:mergeCell ref="A15:H15"/>
    <x:mergeCell ref="A16:H21"/>
    <x:mergeCell ref="A25:H25"/>
    <x:mergeCell ref="A26:H29"/>
    <x:mergeCell ref="A33:H33"/>
    <x:mergeCell ref="A34:H36"/>
  </x:mergeCells>
  <x:pageMargins left="0.7" right="0.7" top="0.75" bottom="0.75" header="0.3" footer="0.3"/>
  <x:tableParts count="1">
    <x:tablePart xmlns:r="http://schemas.openxmlformats.org/officeDocument/2006/relationships" r:id="R994e577d54f4407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1" t="str">
        <x:v>Methodology and Limitations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 ht="42" customHeight="1">
      <x:c r="A2" s="13" t="str">
        <x:v>These notes should be echoed in the README and dashboard footnotes.</x:v>
      </x:c>
    </x:row>
    <x:row r="4">
      <x:c r="A4" s="22" t="str">
        <x:v>Topic</x:v>
      </x:c>
      <x:c r="B4" s="22" t="str">
        <x:v>Decision / Limitation</x:v>
      </x:c>
      <x:c r="C4" s="22" t="str">
        <x:v>Why it matters</x:v>
      </x:c>
    </x:row>
    <x:row r="5">
      <x:c r="A5" s="30" t="str">
        <x:v>TBB data</x:v>
      </x:c>
      <x:c r="B5" s="30" t="str">
        <x:v>Used only for sector-level analysis, not bank-level benchmarking.</x:v>
      </x:c>
      <x:c r="C5" s="30" t="str">
        <x:v>TBB figures are sector-level and not deduplicated across banks.</x:v>
      </x:c>
    </x:row>
    <x:row r="6">
      <x:c r="A6" s="30" t="str">
        <x:v>Core vs supporting metrics</x:v>
      </x:c>
      <x:c r="B6" s="30" t="str">
        <x:v>Core benchmark excludes mobile/app users and POS.</x:v>
      </x:c>
      <x:c r="C6" s="30" t="str">
        <x:v>Mobile/app user and POS definitions are not consistently disclosed across all selected banks.</x:v>
      </x:c>
    </x:row>
    <x:row r="7">
      <x:c r="A7" s="30" t="str">
        <x:v>Customer base</x:v>
      </x:c>
      <x:c r="B7" s="30" t="str">
        <x:v>Use 'reported customer base' and 'reported digital penetration'.</x:v>
      </x:c>
      <x:c r="C7" s="30" t="str">
        <x:v>Garanti total customers, Akbank active customers and İşbank customer/proxy definitions differ.</x:v>
      </x:c>
    </x:row>
    <x:row r="8">
      <x:c r="A8" s="30" t="str">
        <x:v>Digital customers</x:v>
      </x:c>
      <x:c r="B8" s="30" t="str">
        <x:v>Digital customer/user metrics are directionally comparable but not regulatory-standardized.</x:v>
      </x:c>
      <x:c r="C8" s="30" t="str">
        <x:v>Use careful wording: 'reported digital customers/users'.</x:v>
      </x:c>
    </x:row>
    <x:row r="9">
      <x:c r="A9" s="30" t="str">
        <x:v>İşbank 2025</x:v>
      </x:c>
      <x:c r="B9" s="30" t="str">
        <x:v>2025 values use Q4 investor presentation and 2026 Offering Circular; total customers is a proxy.</x:v>
      </x:c>
      <x:c r="C9" s="30" t="str">
        <x:v>2025 annual report was not available during data collection.</x:v>
      </x:c>
    </x:row>
    <x:row r="10">
      <x:c r="A10" s="30" t="str">
        <x:v>Akbank early years</x:v>
      </x:c>
      <x:c r="B10" s="30" t="str">
        <x:v>Some customer, ATM and employee figures are approximate for 2021–2023.</x:v>
      </x:c>
      <x:c r="C10" s="30" t="str">
        <x:v>Derived ratios are directional and should not be over-precise.</x:v>
      </x:c>
    </x:row>
    <x:row r="11">
      <x:c r="A11" s="30" t="str">
        <x:v>Digital Adoption Index</x:v>
      </x:c>
      <x:c r="B11" s="30" t="str">
        <x:v>Directional, project-specific index only.</x:v>
      </x:c>
      <x:c r="C11" s="30" t="str">
        <x:v>Do not present it as an official industry ranking.</x:v>
      </x:c>
    </x:row>
    <x:row r="12">
      <x:c r="A12" s="30" t="str">
        <x:v>Best usage</x:v>
      </x:c>
      <x:c r="B12" s="30" t="str">
        <x:v>Use index to support discussion, not to make absolute winner claims.</x:v>
      </x:c>
      <x:c r="C12" s="30" t="str">
        <x:v>The strongest value of the project is methodology and analytical framing.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67bb494ba2e461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20" hidden="0" customWidth="1"/>
    <x:col min="12" max="12" width="18" hidden="0" customWidth="1"/>
    <x:col min="13" max="13" width="16" hidden="0" customWidth="1"/>
    <x:col min="14" max="14" width="18" hidden="0" customWidth="1"/>
    <x:col min="15" max="15" width="20" hidden="0" customWidth="1"/>
    <x:col min="16" max="16" width="22" hidden="0" customWidth="1"/>
    <x:col min="17" max="17" width="18" hidden="0" customWidth="1"/>
    <x:col min="18" max="18" width="18" hidden="0" customWidth="1"/>
    <x:col min="19" max="19" width="42" hidden="0" customWidth="1"/>
  </x:cols>
  <x:sheetData>
    <x:row r="1">
      <x:c r="A1" s="85" t="str">
        <x:v>Enhanced KPI Findings — Growth, Decoupling &amp; Efficiency Uplift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6"/>
      <x:c r="U1" s="86"/>
      <x:c r="V1" s="86"/>
      <x:c r="W1" s="86"/>
      <x:c r="X1" s="86"/>
      <x:c r="Y1" s="86"/>
      <x:c r="Z1" s="86"/>
    </x:row>
    <x:row r="2">
      <x:c r="A2" s="87" t="str">
        <x:v>This sheet sharpens the project insights with CAGR, penetration point change, branch-to-digital decoupling, and efficiency uplift metrics. Calculated values are formula-driven from the input columns.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7"/>
      <x:c r="O2" s="87"/>
      <x:c r="P2" s="87"/>
      <x:c r="Q2" s="87"/>
      <x:c r="R2" s="87"/>
      <x:c r="S2" s="87"/>
      <x:c r="T2" s="86"/>
      <x:c r="U2" s="86"/>
      <x:c r="V2" s="86"/>
      <x:c r="W2" s="86"/>
      <x:c r="X2" s="86"/>
      <x:c r="Y2" s="86"/>
      <x:c r="Z2" s="86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86"/>
      <x:c r="U3" s="86"/>
      <x:c r="V3" s="86"/>
      <x:c r="W3" s="86"/>
      <x:c r="X3" s="86"/>
      <x:c r="Y3" s="86"/>
      <x:c r="Z3" s="86"/>
    </x:row>
    <x:row r="4">
      <x:c r="A4" s="88" t="str">
        <x:v>Bank</x:v>
      </x:c>
      <x:c r="B4" s="88" t="str">
        <x:v>Digital Customers 2021 (M)</x:v>
      </x:c>
      <x:c r="C4" s="88" t="str">
        <x:v>Digital Customers 2025 (M)</x:v>
      </x:c>
      <x:c r="D4" s="88" t="str">
        <x:v>Customer Base Growth</x:v>
      </x:c>
      <x:c r="E4" s="88" t="str">
        <x:v>Branch Change</x:v>
      </x:c>
      <x:c r="F4" s="88" t="str">
        <x:v>Penetration 2021</x:v>
      </x:c>
      <x:c r="G4" s="88" t="str">
        <x:v>Penetration 2025</x:v>
      </x:c>
      <x:c r="H4" s="88" t="str">
        <x:v>Digital Cust./Branch 2021</x:v>
      </x:c>
      <x:c r="I4" s="88" t="str">
        <x:v>Digital Cust./Branch 2025</x:v>
      </x:c>
      <x:c r="J4" s="88" t="str">
        <x:v>Digital Cust./Employee 2021</x:v>
      </x:c>
      <x:c r="K4" s="88" t="str">
        <x:v>Digital Cust./Employee 2025</x:v>
      </x:c>
      <x:c r="L4" s="88" t="str">
        <x:v>Digital Customer Growth</x:v>
      </x:c>
      <x:c r="M4" s="88" t="str">
        <x:v>Digital Customer CAGR</x:v>
      </x:c>
      <x:c r="N4" s="88" t="str">
        <x:v>Penetration Change (pp)</x:v>
      </x:c>
      <x:c r="O4" s="88" t="str">
        <x:v>Branch-to-Digital Decoupling</x:v>
      </x:c>
      <x:c r="P4" s="88" t="str">
        <x:v>Digital Growth Above Customer Growth</x:v>
      </x:c>
      <x:c r="Q4" s="88" t="str">
        <x:v>Branch Efficiency Uplift</x:v>
      </x:c>
      <x:c r="R4" s="88" t="str">
        <x:v>Employee Efficiency Uplift</x:v>
      </x:c>
      <x:c r="S4" s="88" t="str">
        <x:v>Business Meaning</x:v>
      </x:c>
      <x:c r="T4" s="86"/>
      <x:c r="U4" s="86"/>
      <x:c r="V4" s="86"/>
      <x:c r="W4" s="86"/>
      <x:c r="X4" s="86"/>
      <x:c r="Y4" s="86"/>
      <x:c r="Z4" s="86"/>
    </x:row>
    <x:row r="5">
      <x:c r="A5" s="30" t="str">
        <x:v>Garanti BBVA</x:v>
      </x:c>
      <x:c r="B5" s="42" t="n">
        <x:v>11.04015</x:v>
      </x:c>
      <x:c r="C5" s="42" t="n">
        <x:v>18.040749</x:v>
      </x:c>
      <x:c r="D5" s="40" t="n">
        <x:v>0.479212346610717</x:v>
      </x:c>
      <x:c r="E5" s="40" t="n">
        <x:v>-0.08830275229357798</x:v>
      </x:c>
      <x:c r="F5" s="40" t="n">
        <x:v>0.5417991639622471</x:v>
      </x:c>
      <x:c r="G5" s="40" t="n">
        <x:v>0.5985320317460949</x:v>
      </x:c>
      <x:c r="H5" s="44" t="n">
        <x:v>12660.72247706422</x:v>
      </x:c>
      <x:c r="I5" s="44" t="n">
        <x:v>22692.766037735848</x:v>
      </x:c>
      <x:c r="J5" s="44" t="n">
        <x:v>526.6744585440321</x:v>
      </x:c>
      <x:c r="K5" s="44" t="n">
        <x:v>773.9157050319592</x:v>
      </x:c>
      <x:c r="L5" s="40" t="n">
        <x:f>C5/B5-1</x:f>
        <x:v>0.6341036127226534</x:v>
      </x:c>
      <x:c r="M5" s="40" t="n">
        <x:f>(C5/B5)^(1/4)-1</x:f>
        <x:v>0.13062841908208633</x:v>
      </x:c>
      <x:c r="N5" s="42" t="n">
        <x:f>(G5-F5)*100</x:f>
        <x:v>5.673286778384778</x:v>
      </x:c>
      <x:c r="O5" s="40" t="n">
        <x:f>L5-E5</x:f>
        <x:v>0.7224063650162313</x:v>
      </x:c>
      <x:c r="P5" s="40" t="n">
        <x:f>L5-D5</x:f>
        <x:v>0.15489126611193638</x:v>
      </x:c>
      <x:c r="Q5" s="40" t="n">
        <x:f>I5/H5-1</x:f>
        <x:v>0.7923752833888724</x:v>
      </x:c>
      <x:c r="R5" s="40" t="n">
        <x:f>K5/J5-1</x:f>
        <x:v>0.469438459520924</x:v>
      </x:c>
      <x:c r="S5" s="30" t="str">
        <x:v>Garanti combines the largest 2025 reported digital customer scale with the highest 2025 digital customers per branch; its digital scale is strong but penetration growth is more moderate because the denominator is total customers.</x:v>
      </x:c>
      <x:c r="T5" s="86"/>
      <x:c r="U5" s="86"/>
      <x:c r="V5" s="86"/>
      <x:c r="W5" s="86"/>
      <x:c r="X5" s="86"/>
      <x:c r="Y5" s="86"/>
      <x:c r="Z5" s="86"/>
    </x:row>
    <x:row r="6">
      <x:c r="A6" s="30" t="str">
        <x:v>Akbank</x:v>
      </x:c>
      <x:c r="B6" s="42" t="n">
        <x:v>6.6</x:v>
      </x:c>
      <x:c r="C6" s="42" t="n">
        <x:v>13.2</x:v>
      </x:c>
      <x:c r="D6" s="40" t="n">
        <x:v>0.52</x:v>
      </x:c>
      <x:c r="E6" s="40" t="n">
        <x:v>-0.09001406469760898</x:v>
      </x:c>
      <x:c r="F6" s="40" t="n">
        <x:v>0.6599999999999999</x:v>
      </x:c>
      <x:c r="G6" s="40" t="n">
        <x:v>0.868421052631579</x:v>
      </x:c>
      <x:c r="H6" s="44" t="n">
        <x:v>9282.700421940928</x:v>
      </x:c>
      <x:c r="I6" s="44" t="n">
        <x:v>20401.854714064913</x:v>
      </x:c>
      <x:c r="J6" s="44" t="n">
        <x:v>550</x:v>
      </x:c>
      <x:c r="K6" s="44" t="n">
        <x:v>1048.367881820348</x:v>
      </x:c>
      <x:c r="L6" s="40" t="n">
        <x:f>C6/B6-1</x:f>
        <x:v>1</x:v>
      </x:c>
      <x:c r="M6" s="40" t="n">
        <x:f>(C6/B6)^(1/4)-1</x:f>
        <x:v>0.18920711500272103</x:v>
      </x:c>
      <x:c r="N6" s="42" t="n">
        <x:f>(G6-F6)*100</x:f>
        <x:v>20.842105263157904</x:v>
      </x:c>
      <x:c r="O6" s="40" t="n">
        <x:f>L6-E6</x:f>
        <x:v>1.090014064697609</x:v>
      </x:c>
      <x:c r="P6" s="40" t="n">
        <x:f>L6-D6</x:f>
        <x:v>0.48</x:v>
      </x:c>
      <x:c r="Q6" s="40" t="n">
        <x:f>I6/H6-1</x:f>
        <x:v>1.1978361669242656</x:v>
      </x:c>
      <x:c r="R6" s="40" t="n">
        <x:f>K6/J6-1</x:f>
        <x:v>0.9061234214915417</x:v>
      </x:c>
      <x:c r="S6" s="30" t="str">
        <x:v>Akbank shows the strongest scaling profile: digital users doubled, reported digital penetration rose sharply, and branch count declined; this is the cleanest branch-to-digital acceleration story.</x:v>
      </x:c>
      <x:c r="T6" s="86"/>
      <x:c r="U6" s="86"/>
      <x:c r="V6" s="86"/>
      <x:c r="W6" s="86"/>
      <x:c r="X6" s="86"/>
      <x:c r="Y6" s="86"/>
      <x:c r="Z6" s="86"/>
    </x:row>
    <x:row r="7">
      <x:c r="A7" s="30" t="str">
        <x:v>İşbank</x:v>
      </x:c>
      <x:c r="B7" s="42" t="n">
        <x:v>10.2</x:v>
      </x:c>
      <x:c r="C7" s="42" t="n">
        <x:v>16.2</x:v>
      </x:c>
      <x:c r="D7" s="40" t="n">
        <x:v>0.23188405797101463</x:v>
      </x:c>
      <x:c r="E7" s="40" t="n">
        <x:v>-0.15076660988074952</x:v>
      </x:c>
      <x:c r="F7" s="40" t="n">
        <x:v>0.49275362318840576</x:v>
      </x:c>
      <x:c r="G7" s="40" t="n">
        <x:v>0.6352941176470588</x:v>
      </x:c>
      <x:c r="H7" s="44" t="n">
        <x:v>8688.24531516184</x:v>
      </x:c>
      <x:c r="I7" s="44" t="n">
        <x:v>16248.746238716149</x:v>
      </x:c>
      <x:c r="J7" s="44" t="n">
        <x:v>447.3291816507324</x:v>
      </x:c>
      <x:c r="K7" s="44" t="n">
        <x:v>785.2641783809986</x:v>
      </x:c>
      <x:c r="L7" s="40" t="n">
        <x:f>C7/B7-1</x:f>
        <x:v>0.5882352941176472</x:v>
      </x:c>
      <x:c r="M7" s="40" t="n">
        <x:f>(C7/B7)^(1/4)-1</x:f>
        <x:v>0.1226094938246376</x:v>
      </x:c>
      <x:c r="N7" s="42" t="n">
        <x:f>(G7-F7)*100</x:f>
        <x:v>14.254049445865302</x:v>
      </x:c>
      <x:c r="O7" s="40" t="n">
        <x:f>L7-E7</x:f>
        <x:v>0.7390019039983967</x:v>
      </x:c>
      <x:c r="P7" s="40" t="n">
        <x:f>L7-D7</x:f>
        <x:v>0.35635123614663256</x:v>
      </x:c>
      <x:c r="Q7" s="40" t="n">
        <x:f>I7/H7-1</x:f>
        <x:v>0.8701988317894862</x:v>
      </x:c>
      <x:c r="R7" s="40" t="n">
        <x:f>K7/J7-1</x:f>
        <x:v>0.7554503721023069</x:v>
      </x:c>
      <x:c r="S7" s="30" t="str">
        <x:v>İşbank shows strong digital scaling with the sharpest branch reduction; 2025 customer base is a proxy, so penetration should be interpreted directionally.</x:v>
      </x:c>
      <x:c r="T7" s="86"/>
      <x:c r="U7" s="86"/>
      <x:c r="V7" s="86"/>
      <x:c r="W7" s="86"/>
      <x:c r="X7" s="86"/>
      <x:c r="Y7" s="86"/>
      <x:c r="Z7" s="86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86"/>
      <x:c r="U8" s="86"/>
      <x:c r="V8" s="86"/>
      <x:c r="W8" s="86"/>
      <x:c r="X8" s="86"/>
      <x:c r="Y8" s="86"/>
      <x:c r="Z8" s="86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86"/>
      <x:c r="U9" s="86"/>
      <x:c r="V9" s="86"/>
      <x:c r="W9" s="86"/>
      <x:c r="X9" s="86"/>
      <x:c r="Y9" s="86"/>
      <x:c r="Z9" s="86"/>
    </x:row>
    <x:row r="10">
      <x:c r="A10" s="88" t="str">
        <x:v>How to read these metrics</x:v>
      </x:c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6"/>
      <x:c r="U10" s="86"/>
      <x:c r="V10" s="86"/>
      <x:c r="W10" s="86"/>
      <x:c r="X10" s="86"/>
      <x:c r="Y10" s="86"/>
      <x:c r="Z10" s="86"/>
    </x:row>
    <x:row r="11">
      <x:c r="A11" s="89" t="str">
        <x:v>Metric</x:v>
      </x:c>
      <x:c r="B11" s="89" t="str">
        <x:v>Plain-English meaning</x:v>
      </x:c>
      <x:c r="C11" s="89" t="str"/>
      <x:c r="D11" s="89" t="str"/>
      <x:c r="E11" s="89" t="str"/>
      <x:c r="F11" s="89" t="str"/>
      <x:c r="G11" s="89" t="str"/>
      <x:c r="H11" s="89" t="str"/>
      <x:c r="I11" s="89" t="str"/>
      <x:c r="J11" s="89" t="str"/>
      <x:c r="K11" s="89" t="str"/>
      <x:c r="L11" s="89" t="str"/>
      <x:c r="M11" s="89" t="str"/>
      <x:c r="N11" s="89" t="str"/>
      <x:c r="O11" s="89" t="str"/>
      <x:c r="P11" s="89" t="str"/>
      <x:c r="Q11" s="89" t="str"/>
      <x:c r="R11" s="89" t="str"/>
      <x:c r="S11" s="89" t="str">
        <x:v>Dashboard use</x:v>
      </x:c>
      <x:c r="T11" s="86"/>
      <x:c r="U11" s="86"/>
      <x:c r="V11" s="86"/>
      <x:c r="W11" s="86"/>
      <x:c r="X11" s="86"/>
      <x:c r="Y11" s="86"/>
      <x:c r="Z11" s="86"/>
    </x:row>
    <x:row r="12">
      <x:c r="A12" s="30" t="str">
        <x:v>Digital Customer CAGR</x:v>
      </x:c>
      <x:c r="B12" s="30" t="str">
        <x:v>Annualized digital customer growth rate over 2021–2025; smoother than raw growth.</x:v>
      </x:c>
      <x:c r="C12" s="30" t="str"/>
      <x:c r="D12" s="30" t="str"/>
      <x:c r="E12" s="30" t="str"/>
      <x:c r="F12" s="30" t="str"/>
      <x:c r="G12" s="30" t="str"/>
      <x:c r="H12" s="30" t="str"/>
      <x:c r="I12" s="30" t="str"/>
      <x:c r="J12" s="30" t="str"/>
      <x:c r="K12" s="30" t="str"/>
      <x:c r="L12" s="30" t="str"/>
      <x:c r="M12" s="30" t="str"/>
      <x:c r="N12" s="30" t="str"/>
      <x:c r="O12" s="30" t="str"/>
      <x:c r="P12" s="30" t="str"/>
      <x:c r="Q12" s="30" t="str"/>
      <x:c r="R12" s="30" t="str"/>
      <x:c r="S12" s="30" t="str">
        <x:v>Use in bank growth cards and executive summary.</x:v>
      </x:c>
      <x:c r="T12" s="86"/>
      <x:c r="U12" s="86"/>
      <x:c r="V12" s="86"/>
      <x:c r="W12" s="86"/>
      <x:c r="X12" s="86"/>
      <x:c r="Y12" s="86"/>
      <x:c r="Z12" s="86"/>
    </x:row>
    <x:row r="13">
      <x:c r="A13" s="30" t="str">
        <x:v>Penetration Change (pp)</x:v>
      </x:c>
      <x:c r="B13" s="30" t="str">
        <x:v>Percentage-point change in reported digital penetration; better than saying only 2025 percentage.</x:v>
      </x:c>
      <x:c r="C13" s="30" t="str"/>
      <x:c r="D13" s="30" t="str"/>
      <x:c r="E13" s="30" t="str"/>
      <x:c r="F13" s="30" t="str"/>
      <x:c r="G13" s="30" t="str"/>
      <x:c r="H13" s="30" t="str"/>
      <x:c r="I13" s="30" t="str"/>
      <x:c r="J13" s="30" t="str"/>
      <x:c r="K13" s="30" t="str"/>
      <x:c r="L13" s="30" t="str"/>
      <x:c r="M13" s="30" t="str"/>
      <x:c r="N13" s="30" t="str"/>
      <x:c r="O13" s="30" t="str"/>
      <x:c r="P13" s="30" t="str"/>
      <x:c r="Q13" s="30" t="str"/>
      <x:c r="R13" s="30" t="str"/>
      <x:c r="S13" s="30" t="str">
        <x:v>Use in penetration analysis page.</x:v>
      </x:c>
      <x:c r="T13" s="86"/>
      <x:c r="U13" s="86"/>
      <x:c r="V13" s="86"/>
      <x:c r="W13" s="86"/>
      <x:c r="X13" s="86"/>
      <x:c r="Y13" s="86"/>
      <x:c r="Z13" s="86"/>
    </x:row>
    <x:row r="14">
      <x:c r="A14" s="30" t="str">
        <x:v>Branch-to-Digital Decoupling</x:v>
      </x:c>
      <x:c r="B14" s="30" t="str">
        <x:v>Digital customer growth minus branch growth. If branches fall while digital customers rise, this number gets stronger.</x:v>
      </x:c>
      <x:c r="C14" s="30" t="str"/>
      <x:c r="D14" s="30" t="str"/>
      <x:c r="E14" s="30" t="str"/>
      <x:c r="F14" s="30" t="str"/>
      <x:c r="G14" s="30" t="str"/>
      <x:c r="H14" s="30" t="str"/>
      <x:c r="I14" s="30" t="str"/>
      <x:c r="J14" s="30" t="str"/>
      <x:c r="K14" s="30" t="str"/>
      <x:c r="L14" s="30" t="str"/>
      <x:c r="M14" s="30" t="str"/>
      <x:c r="N14" s="30" t="str"/>
      <x:c r="O14" s="30" t="str"/>
      <x:c r="P14" s="30" t="str"/>
      <x:c r="Q14" s="30" t="str"/>
      <x:c r="R14" s="30" t="str"/>
      <x:c r="S14" s="30" t="str">
        <x:v>Use in branch-to-digital efficiency story.</x:v>
      </x:c>
      <x:c r="T14" s="86"/>
      <x:c r="U14" s="86"/>
      <x:c r="V14" s="86"/>
      <x:c r="W14" s="86"/>
      <x:c r="X14" s="86"/>
      <x:c r="Y14" s="86"/>
      <x:c r="Z14" s="86"/>
    </x:row>
    <x:row r="15">
      <x:c r="A15" s="30" t="str">
        <x:v>Digital Growth Above Customer Growth</x:v>
      </x:c>
      <x:c r="B15" s="30" t="str">
        <x:v>Digital customer growth minus reported customer-base growth. Positive means digital grew faster than the broader customer base.</x:v>
      </x:c>
      <x:c r="C15" s="30" t="str"/>
      <x:c r="D15" s="30" t="str"/>
      <x:c r="E15" s="30" t="str"/>
      <x:c r="F15" s="30" t="str"/>
      <x:c r="G15" s="30" t="str"/>
      <x:c r="H15" s="30" t="str"/>
      <x:c r="I15" s="30" t="str"/>
      <x:c r="J15" s="30" t="str"/>
      <x:c r="K15" s="30" t="str"/>
      <x:c r="L15" s="30" t="str"/>
      <x:c r="M15" s="30" t="str"/>
      <x:c r="N15" s="30" t="str"/>
      <x:c r="O15" s="30" t="str"/>
      <x:c r="P15" s="30" t="str"/>
      <x:c r="Q15" s="30" t="str"/>
      <x:c r="R15" s="30" t="str"/>
      <x:c r="S15" s="30" t="str">
        <x:v>Use to show whether digital adoption outpaced total customer growth.</x:v>
      </x:c>
      <x:c r="T15" s="86"/>
      <x:c r="U15" s="86"/>
      <x:c r="V15" s="86"/>
      <x:c r="W15" s="86"/>
      <x:c r="X15" s="86"/>
      <x:c r="Y15" s="86"/>
      <x:c r="Z15" s="86"/>
    </x:row>
    <x:row r="16">
      <x:c r="A16" s="30" t="str">
        <x:v>Efficiency Uplift</x:v>
      </x:c>
      <x:c r="B16" s="30" t="str">
        <x:v>Growth in digital customers per branch/employee. This is a proxy, not full productivity.</x:v>
      </x:c>
      <x:c r="C16" s="30" t="str"/>
      <x:c r="D16" s="30" t="str"/>
      <x:c r="E16" s="30" t="str"/>
      <x:c r="F16" s="30" t="str"/>
      <x:c r="G16" s="30" t="str"/>
      <x:c r="H16" s="30" t="str"/>
      <x:c r="I16" s="30" t="str"/>
      <x:c r="J16" s="30" t="str"/>
      <x:c r="K16" s="30" t="str"/>
      <x:c r="L16" s="30" t="str"/>
      <x:c r="M16" s="30" t="str"/>
      <x:c r="N16" s="30" t="str"/>
      <x:c r="O16" s="30" t="str"/>
      <x:c r="P16" s="30" t="str"/>
      <x:c r="Q16" s="30" t="str"/>
      <x:c r="R16" s="30" t="str"/>
      <x:c r="S16" s="30" t="str">
        <x:v>Use in efficiency proxy page.</x:v>
      </x:c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</x:sheetData>
  <x:mergeCells>
    <x:mergeCell ref="A1:S1"/>
    <x:mergeCell ref="A2:S2"/>
    <x:mergeCell ref="A10:S1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52" hidden="0" customWidth="1"/>
    <x:col min="4" max="4" width="56" hidden="0" customWidth="1"/>
    <x:col min="5" max="5" width="46" hidden="0" customWidth="1"/>
  </x:cols>
  <x:sheetData>
    <x:row r="1">
      <x:c r="A1" s="85" t="str">
        <x:v>Bank Profile Insights — Interview-Ready Bank Narratives</x:v>
      </x:c>
      <x:c r="B1" s="85"/>
      <x:c r="C1" s="85"/>
      <x:c r="D1" s="85"/>
      <x:c r="E1" s="85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87" t="str">
        <x:v>Each bank is summarized with a headline, three decision-useful insights, an interview-ready sentence, and the main caveat to avoid overclaiming.</x:v>
      </x:c>
      <x:c r="B2" s="87"/>
      <x:c r="C2" s="87"/>
      <x:c r="D2" s="87"/>
      <x:c r="E2" s="87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30"/>
      <x:c r="B3" s="30"/>
      <x:c r="C3" s="30"/>
      <x:c r="D3" s="30"/>
      <x:c r="E3" s="30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88" t="str">
        <x:v>Bank</x:v>
      </x:c>
      <x:c r="B4" s="88" t="str">
        <x:v>Strategic Headline</x:v>
      </x:c>
      <x:c r="C4" s="88" t="str">
        <x:v>3 Key Insights</x:v>
      </x:c>
      <x:c r="D4" s="88" t="str">
        <x:v>Interview-Ready Sentence</x:v>
      </x:c>
      <x:c r="E4" s="88" t="str">
        <x:v>Main Caveat</x:v>
      </x:c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30" t="str">
        <x:v>Garanti BBVA</x:v>
      </x:c>
      <x:c r="B5" s="30" t="str">
        <x:v>Scale leader with strong branch-scaled digital intensity</x:v>
      </x:c>
      <x:c r="C5" s="30" t="str">
        <x:v>1) Largest reported 2025 digital customer scale among selected banks.
2) Highest 2025 digital customers per branch.
3) Digital customers grew faster than total customers while branches declined.</x:v>
      </x:c>
      <x:c r="D5" s="30" t="str">
        <x:v>Garanti BBVA appears strongest in absolute reported digital customer scale and branch-scaled digital intensity, which suggests a mature digital customer base relative to its physical network.</x:v>
      </x:c>
      <x:c r="E5" s="30" t="str">
        <x:v>Penetration is lower than Akbank partly because Garanti uses a broader total-customer denominator; avoid calling it weaker solely on penetration.</x:v>
      </x:c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30" t="str">
        <x:v>Akbank</x:v>
      </x:c>
      <x:c r="B6" s="30" t="str">
        <x:v>Fastest digital scaling and strongest directional adoption index profile</x:v>
      </x:c>
      <x:c r="C6" s="30" t="str">
        <x:v>1) Digital banking users doubled from 2021 to 2025.
2) Reported digital penetration rose by roughly 21 percentage points.
3) Digital users per branch more than doubled while branch count declined.</x:v>
      </x:c>
      <x:c r="D6" s="30" t="str">
        <x:v>Akbank shows the strongest growth-led digital adoption story: its digital user base doubled while branch count fell, pushing digital users per branch sharply higher.</x:v>
      </x:c>
      <x:c r="E6" s="30" t="str">
        <x:v>Mobile banking customer count is not consistently disclosed; mobile channel strength should be discussed through transaction and digital-channel indicators, not mobile-user ranking.</x:v>
      </x:c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30" t="str">
        <x:v>İşbank</x:v>
      </x:c>
      <x:c r="B7" s="30" t="str">
        <x:v>Strong digital migration with the sharpest branch network reduction</x:v>
      </x:c>
      <x:c r="C7" s="30" t="str">
        <x:v>1) Digital banking customers rose strongly while domestic branches declined the most.
2) İşCep and non-branch channel indicators support a mature mobile/non-branch usage story.
3) Digital customers per branch improved strongly from 2021 to 2025.</x:v>
      </x:c>
      <x:c r="D7" s="30" t="str">
        <x:v>İşbank combines digital customer growth with the sharpest physical branch reduction, supporting a strong branch-to-digital migration narrative.</x:v>
      </x:c>
      <x:c r="E7" s="30" t="str">
        <x:v>2025 total customer base is a proxy built from retail and commercial disclosures; penetration should be treated as directional.</x:v>
      </x:c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86"/>
      <x:c r="B8" s="86"/>
      <x:c r="C8" s="86"/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</x:sheetData>
  <x:mergeCells>
    <x:mergeCell ref="A1:E1"/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18" hidden="0" customWidth="1"/>
    <x:col min="12" max="12" width="12" hidden="0" customWidth="1"/>
    <x:col min="13" max="13" width="12" hidden="0" customWidth="1"/>
    <x:col min="14" max="14" width="44" hidden="0" customWidth="1"/>
  </x:cols>
  <x:sheetData>
    <x:row r="1">
      <x:c r="A1" s="85" t="str">
        <x:v>Digital Adoption Index Sensitivity Check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87" t="str">
        <x:v>This sheet tests whether the index conclusion changes under equal weighting. It uses min-max normalization across the three selected banks and remains directional, not official.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7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88" t="str">
        <x:v>Bank</x:v>
      </x:c>
      <x:c r="B4" s="88" t="str">
        <x:v>Reported Digital Penetration</x:v>
      </x:c>
      <x:c r="C4" s="88" t="str">
        <x:v>Digital Cust./Branch</x:v>
      </x:c>
      <x:c r="D4" s="88" t="str">
        <x:v>Digital Cust./Employee</x:v>
      </x:c>
      <x:c r="E4" s="88" t="str">
        <x:v>Digital Customer Growth</x:v>
      </x:c>
      <x:c r="F4" s="88" t="str">
        <x:v>Penetration Score</x:v>
      </x:c>
      <x:c r="G4" s="88" t="str">
        <x:v>Branch Score</x:v>
      </x:c>
      <x:c r="H4" s="88" t="str">
        <x:v>Employee Score</x:v>
      </x:c>
      <x:c r="I4" s="88" t="str">
        <x:v>Growth Score</x:v>
      </x:c>
      <x:c r="J4" s="88" t="str">
        <x:v>Base Index 30/30/20/20</x:v>
      </x:c>
      <x:c r="K4" s="88" t="str">
        <x:v>Equal-Weight Index</x:v>
      </x:c>
      <x:c r="L4" s="88" t="str">
        <x:v>Base Rank</x:v>
      </x:c>
      <x:c r="M4" s="88" t="str">
        <x:v>Equal Rank</x:v>
      </x:c>
      <x:c r="N4" s="88" t="str">
        <x:v>Sensitivity Interpretation</x:v>
      </x:c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30" t="str">
        <x:v>Garanti BBVA</x:v>
      </x:c>
      <x:c r="B5" s="40" t="n">
        <x:v>0.5985320317460949</x:v>
      </x:c>
      <x:c r="C5" s="44" t="n">
        <x:v>22692.766037735848</x:v>
      </x:c>
      <x:c r="D5" s="44" t="n">
        <x:v>773.9157050319592</x:v>
      </x:c>
      <x:c r="E5" s="40" t="n">
        <x:v>0.6341036127226534</x:v>
      </x:c>
      <x:c r="F5" s="42" t="n">
        <x:f>IF(MAX($B$5:$B$7)=MIN($B$5:$B$7),100,(B5-MIN($B$5:$B$7))/(MAX($B$5:$B$7)-MIN($B$5:$B$7))*100)</x:f>
        <x:v>0</x:v>
      </x:c>
      <x:c r="G5" s="42" t="n">
        <x:f>IF(MAX($C$5:$C$7)=MIN($C$5:$C$7),100,(C5-MIN($C$5:$C$7))/(MAX($C$5:$C$7)-MIN($C$5:$C$7))*100)</x:f>
        <x:v>100</x:v>
      </x:c>
      <x:c r="H5" s="42" t="n">
        <x:f>IF(MAX($D$5:$D$7)=MIN($D$5:$D$7),100,(D5-MIN($D$5:$D$7))/(MAX($D$5:$D$7)-MIN($D$5:$D$7))*100)</x:f>
        <x:v>0</x:v>
      </x:c>
      <x:c r="I5" s="42" t="n">
        <x:f>IF(MAX($E$5:$E$7)=MIN($E$5:$E$7),100,(E5-MIN($E$5:$E$7))/(MAX($E$5:$E$7)-MIN($E$5:$E$7))*100)</x:f>
        <x:v>11.139448804072932</x:v>
      </x:c>
      <x:c r="J5" s="42" t="n">
        <x:f>0.30*F5+0.30*G5+0.20*H5+0.20*I5</x:f>
        <x:v>32.227889760814584</x:v>
      </x:c>
      <x:c r="K5" s="42" t="n">
        <x:f>AVERAGE(F5:I5)</x:f>
        <x:v>27.784862201018232</x:v>
      </x:c>
      <x:c r="L5" s="90" t="n">
        <x:f>RANK.EQ(J5,$J$5:$J$7,0)</x:f>
        <x:v>2</x:v>
      </x:c>
      <x:c r="M5" s="90" t="n">
        <x:f>RANK.EQ(K5,$K$5:$K$7,0)</x:f>
        <x:v>2</x:v>
      </x:c>
      <x:c r="N5" s="30" t="str">
        <x:v>Rank remains stable under equal weights; score improves if branch intensity receives high weight.</x:v>
      </x:c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30" t="str">
        <x:v>Akbank</x:v>
      </x:c>
      <x:c r="B6" s="40" t="n">
        <x:v>0.868421052631579</x:v>
      </x:c>
      <x:c r="C6" s="44" t="n">
        <x:v>20401.854714064913</x:v>
      </x:c>
      <x:c r="D6" s="44" t="n">
        <x:v>1048.367881820348</x:v>
      </x:c>
      <x:c r="E6" s="40" t="n">
        <x:v>1</x:v>
      </x:c>
      <x:c r="F6" s="42" t="n">
        <x:f>IF(MAX($B$5:$B$7)=MIN($B$5:$B$7),100,(B6-MIN($B$5:$B$7))/(MAX($B$5:$B$7)-MIN($B$5:$B$7))*100)</x:f>
        <x:v>100</x:v>
      </x:c>
      <x:c r="G6" s="42" t="n">
        <x:f>IF(MAX($C$5:$C$7)=MIN($C$5:$C$7),100,(C6-MIN($C$5:$C$7))/(MAX($C$5:$C$7)-MIN($C$5:$C$7))*100)</x:f>
        <x:v>64.44903344307787</x:v>
      </x:c>
      <x:c r="H6" s="42" t="n">
        <x:f>IF(MAX($D$5:$D$7)=MIN($D$5:$D$7),100,(D6-MIN($D$5:$D$7))/(MAX($D$5:$D$7)-MIN($D$5:$D$7))*100)</x:f>
        <x:v>100</x:v>
      </x:c>
      <x:c r="I6" s="42" t="n">
        <x:f>IF(MAX($E$5:$E$7)=MIN($E$5:$E$7),100,(E6-MIN($E$5:$E$7))/(MAX($E$5:$E$7)-MIN($E$5:$E$7))*100)</x:f>
        <x:v>100</x:v>
      </x:c>
      <x:c r="J6" s="42" t="n">
        <x:f>0.30*F6+0.30*G6+0.20*H6+0.20*I6</x:f>
        <x:v>89.33471003292335</x:v>
      </x:c>
      <x:c r="K6" s="42" t="n">
        <x:f>AVERAGE(F6:I6)</x:f>
        <x:v>91.11225836076946</x:v>
      </x:c>
      <x:c r="L6" s="90" t="n">
        <x:f>RANK.EQ(J6,$J$5:$J$7,0)</x:f>
        <x:v>1</x:v>
      </x:c>
      <x:c r="M6" s="90" t="n">
        <x:f>RANK.EQ(K6,$K$5:$K$7,0)</x:f>
        <x:v>1</x:v>
      </x:c>
      <x:c r="N6" s="30" t="str">
        <x:v>Rank remains first under both base and equal-weight methods; conclusion is robust within this limited peer set.</x:v>
      </x:c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30" t="str">
        <x:v>İşbank</x:v>
      </x:c>
      <x:c r="B7" s="40" t="n">
        <x:v>0.6352941176470588</x:v>
      </x:c>
      <x:c r="C7" s="44" t="n">
        <x:v>16248.746238716149</x:v>
      </x:c>
      <x:c r="D7" s="44" t="n">
        <x:v>785.2641783809986</x:v>
      </x:c>
      <x:c r="E7" s="40" t="n">
        <x:v>0.5882352941176472</x:v>
      </x:c>
      <x:c r="F7" s="42" t="n">
        <x:f>IF(MAX($B$5:$B$7)=MIN($B$5:$B$7),100,(B7-MIN($B$5:$B$7))/(MAX($B$5:$B$7)-MIN($B$5:$B$7))*100)</x:f>
        <x:v>13.621186138046825</x:v>
      </x:c>
      <x:c r="G7" s="42" t="n">
        <x:f>IF(MAX($C$5:$C$7)=MIN($C$5:$C$7),100,(C7-MIN($C$5:$C$7))/(MAX($C$5:$C$7)-MIN($C$5:$C$7))*100)</x:f>
        <x:v>0</x:v>
      </x:c>
      <x:c r="H7" s="42" t="n">
        <x:f>IF(MAX($D$5:$D$7)=MIN($D$5:$D$7),100,(D7-MIN($D$5:$D$7))/(MAX($D$5:$D$7)-MIN($D$5:$D$7))*100)</x:f>
        <x:v>4.134954760365933</x:v>
      </x:c>
      <x:c r="I7" s="42" t="n">
        <x:f>IF(MAX($E$5:$E$7)=MIN($E$5:$E$7),100,(E7-MIN($E$5:$E$7))/(MAX($E$5:$E$7)-MIN($E$5:$E$7))*100)</x:f>
        <x:v>0</x:v>
      </x:c>
      <x:c r="J7" s="42" t="n">
        <x:f>0.30*F7+0.30*G7+0.20*H7+0.20*I7</x:f>
        <x:v>4.913346793487234</x:v>
      </x:c>
      <x:c r="K7" s="42" t="n">
        <x:f>AVERAGE(F7:I7)</x:f>
        <x:v>4.43903522460319</x:v>
      </x:c>
      <x:c r="L7" s="90" t="n">
        <x:f>RANK.EQ(J7,$J$5:$J$7,0)</x:f>
        <x:v>3</x:v>
      </x:c>
      <x:c r="M7" s="90" t="n">
        <x:f>RANK.EQ(K7,$K$5:$K$7,0)</x:f>
        <x:v>3</x:v>
      </x:c>
      <x:c r="N7" s="30" t="str">
        <x:v>Rank remains third under this index, but supporting non-branch channel indicators strengthen the strategic narrative.</x:v>
      </x:c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88" t="str">
        <x:v>Sensitivity conclusion</x:v>
      </x:c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30" t="str">
        <x:v>Finding</x:v>
      </x:c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  <x:c r="J11" s="30" t="str"/>
      <x:c r="K11" s="30" t="str"/>
      <x:c r="L11" s="30" t="str"/>
      <x:c r="M11" s="30" t="str"/>
      <x:c r="N11" s="30" t="str">
        <x:v>Under equal weighting, the rank order remains stable: Akbank first, Garanti second, İşbank third.</x:v>
      </x:c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30" t="str">
        <x:v>Implication</x:v>
      </x:c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  <x:c r="J12" s="30" t="str"/>
      <x:c r="K12" s="30" t="str"/>
      <x:c r="L12" s="30" t="str"/>
      <x:c r="M12" s="30" t="str"/>
      <x:c r="N12" s="30" t="str">
        <x:v>The index result is directionally robust to a basic weight change, but it should still be presented as a project-specific framework due to disclosure differences.</x:v>
      </x:c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30" t="str">
        <x:v>Safe wording</x:v>
      </x:c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  <x:c r="J13" s="30" t="str"/>
      <x:c r="K13" s="30" t="str"/>
      <x:c r="L13" s="30" t="str"/>
      <x:c r="M13" s="30" t="str"/>
      <x:c r="N13" s="30" t="str">
        <x:v>Do not say 'the most digital bank'. Say 'Akbank leads this directional index based on selected public indicators and core comparable metrics.'</x:v>
      </x:c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</x:sheetData>
  <x:mergeCells>
    <x:mergeCell ref="A1:N1"/>
    <x:mergeCell ref="A2:N2"/>
    <x:mergeCell ref="A10:N1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42" hidden="0" customWidth="1"/>
    <x:col min="5" max="5" width="38" hidden="0" customWidth="1"/>
    <x:col min="6" max="6" width="46" hidden="0" customWidth="1"/>
  </x:cols>
  <x:sheetData>
    <x:row r="1">
      <x:c r="A1" s="85" t="str">
        <x:v>KPI Business Meaning — What Each Metric Actually Says</x:v>
      </x:c>
      <x:c r="B1" s="85"/>
      <x:c r="C1" s="85"/>
      <x:c r="D1" s="85"/>
      <x:c r="E1" s="85"/>
      <x:c r="F1" s="85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87" t="str">
        <x:v>This sheet translates the technical KPIs into plain business language for dashboard captions, README, and interview explanation.</x:v>
      </x:c>
      <x:c r="B2" s="87"/>
      <x:c r="C2" s="87"/>
      <x:c r="D2" s="87"/>
      <x:c r="E2" s="87"/>
      <x:c r="F2" s="87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30"/>
      <x:c r="B3" s="30"/>
      <x:c r="C3" s="30"/>
      <x:c r="D3" s="30"/>
      <x:c r="E3" s="30"/>
      <x:c r="F3" s="30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88" t="str">
        <x:v>KPI</x:v>
      </x:c>
      <x:c r="B4" s="88" t="str">
        <x:v>Formula / Logic</x:v>
      </x:c>
      <x:c r="C4" s="88" t="str">
        <x:v>What it measures</x:v>
      </x:c>
      <x:c r="D4" s="88" t="str">
        <x:v>Why it matters</x:v>
      </x:c>
      <x:c r="E4" s="88" t="str">
        <x:v>Dashboard use</x:v>
      </x:c>
      <x:c r="F4" s="88" t="str">
        <x:v>Caveat</x:v>
      </x:c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30" t="str">
        <x:v>Reported Digital Penetration</x:v>
      </x:c>
      <x:c r="B5" s="30" t="str">
        <x:v>reported digital customers / reported customer base</x:v>
      </x:c>
      <x:c r="C5" s="30" t="str">
        <x:v>How much of the disclosed customer base is digitally active.</x:v>
      </x:c>
      <x:c r="D5" s="30" t="str">
        <x:v>Shows whether digital usage is broad relative to the bank’s customer base.</x:v>
      </x:c>
      <x:c r="E5" s="30" t="str">
        <x:v>Use as a core bank benchmark metric.</x:v>
      </x:c>
      <x:c r="F5" s="30" t="str">
        <x:v>Customer-base definitions differ: total customers, active customers, or proxy values.</x:v>
      </x:c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30" t="str">
        <x:v>Digital Customers per Branch</x:v>
      </x:c>
      <x:c r="B6" s="30" t="str">
        <x:v>reported digital customers / domestic branches</x:v>
      </x:c>
      <x:c r="C6" s="30" t="str">
        <x:v>Digital customer scale relative to physical branch network.</x:v>
      </x:c>
      <x:c r="D6" s="30" t="str">
        <x:v>Core proxy for branch-to-digital scaling; strong when digital customers grow while branches stay flat or decline.</x:v>
      </x:c>
      <x:c r="E6" s="30" t="str">
        <x:v>Use as the main branch-to-digital efficiency KPI.</x:v>
      </x:c>
      <x:c r="F6" s="30" t="str">
        <x:v>Not a full profitability/productivity metric; branch role and complexity differ by bank.</x:v>
      </x:c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30" t="str">
        <x:v>Digital Customers per Employee</x:v>
      </x:c>
      <x:c r="B7" s="30" t="str">
        <x:v>reported digital customers / employees</x:v>
      </x:c>
      <x:c r="C7" s="30" t="str">
        <x:v>Digital customer scale relative to headcount.</x:v>
      </x:c>
      <x:c r="D7" s="30" t="str">
        <x:v>Directional scale-to-headcount proxy; useful for operational intensity discussion.</x:v>
      </x:c>
      <x:c r="E7" s="30" t="str">
        <x:v>Use as supporting efficiency proxy.</x:v>
      </x:c>
      <x:c r="F7" s="30" t="str">
        <x:v>Not a full productivity measure; ignores role mix and outsourcing.</x:v>
      </x:c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30" t="str">
        <x:v>Digital Customer CAGR</x:v>
      </x:c>
      <x:c r="B8" s="30" t="str">
        <x:v>(2025 digital customers / 2021 digital customers)^(1/4)-1</x:v>
      </x:c>
      <x:c r="C8" s="30" t="str">
        <x:v>Annualized growth of digital customer base over the period.</x:v>
      </x:c>
      <x:c r="D8" s="30" t="str">
        <x:v>More stable than raw growth and easier to compare across banks.</x:v>
      </x:c>
      <x:c r="E8" s="30" t="str">
        <x:v>Use in executive summary and growth page.</x:v>
      </x:c>
      <x:c r="F8" s="30" t="str">
        <x:v>Depends on quality of 2021 and 2025 digital customer disclosures.</x:v>
      </x:c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30" t="str">
        <x:v>Branch-to-Digital Decoupling</x:v>
      </x:c>
      <x:c r="B9" s="30" t="str">
        <x:v>digital customer growth % - branch change %</x:v>
      </x:c>
      <x:c r="C9" s="30" t="str">
        <x:v>How strongly digital customer growth separates from physical branch expansion.</x:v>
      </x:c>
      <x:c r="D9" s="30" t="str">
        <x:v>If branches decline while digital customers grow, it supports a channel migration thesis.</x:v>
      </x:c>
      <x:c r="E9" s="30" t="str">
        <x:v>Use as a highlighted insight in the branch efficiency page.</x:v>
      </x:c>
      <x:c r="F9" s="30" t="str">
        <x:v>This is an analytical proxy, not a causal proof that customers moved from branch to digital.</x:v>
      </x:c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30" t="str">
        <x:v>Digital Growth Above Customer Growth</x:v>
      </x:c>
      <x:c r="B10" s="30" t="str">
        <x:v>digital customer growth % - customer base growth %</x:v>
      </x:c>
      <x:c r="C10" s="30" t="str">
        <x:v>Whether digital adoption grew faster than the overall reported customer base.</x:v>
      </x:c>
      <x:c r="D10" s="30" t="str">
        <x:v>Shows whether digital adoption is increasing inside the customer base, not just following customer growth.</x:v>
      </x:c>
      <x:c r="E10" s="30" t="str">
        <x:v>Use in bank profile insights.</x:v>
      </x:c>
      <x:c r="F10" s="30" t="str">
        <x:v>Customer base definitions differ, so keep wording directional.</x:v>
      </x:c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30" t="str">
        <x:v>Digital Adoption Index</x:v>
      </x:c>
      <x:c r="B11" s="30" t="str">
        <x:v>weighted normalized score of penetration, digital customers per branch, digital customers per employee and digital customer growth</x:v>
      </x:c>
      <x:c r="C11" s="30" t="str">
        <x:v>A directional summary of selected comparable digital adoption signals.</x:v>
      </x:c>
      <x:c r="D11" s="30" t="str">
        <x:v>Makes the benchmark easy to communicate, while avoiding inconsistent mobile/POS metrics.</x:v>
      </x:c>
      <x:c r="E11" s="30" t="str">
        <x:v>Use as a directional ranking, not as a definitive winner table.</x:v>
      </x:c>
      <x:c r="F11" s="30" t="str">
        <x:v>Project-specific; not official; sensitive to metric selection and weighting.</x:v>
      </x:c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30" t="str">
        <x:v>Supporting Mobile Channel Signals</x:v>
      </x:c>
      <x:c r="B12" s="30" t="str">
        <x:v>Garanti mobile banking customers, İşbank İşCep users, Akbank mobile transaction/share indicators</x:v>
      </x:c>
      <x:c r="C12" s="30" t="str">
        <x:v>Bank-specific mobile-first signals that are not fully comparable.</x:v>
      </x:c>
      <x:c r="D12" s="30" t="str">
        <x:v>Preserves mobile-first narrative without forcing inconsistent metrics into the core score.</x:v>
      </x:c>
      <x:c r="E12" s="30" t="str">
        <x:v>Use in supporting insights page or callout boxes.</x:v>
      </x:c>
      <x:c r="F12" s="30" t="str">
        <x:v>Do not rank banks directly by these mixed mobile indicators.</x:v>
      </x:c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30" t="str">
        <x:v>POS / Payment Infrastructure</x:v>
      </x:c>
      <x:c r="B13" s="30" t="str">
        <x:v>reported POS devices, POS terminals, or bank-owned POS depending on bank</x:v>
      </x:c>
      <x:c r="C13" s="30" t="str">
        <x:v>Payment acceptance / merchant infrastructure context.</x:v>
      </x:c>
      <x:c r="D13" s="30" t="str">
        <x:v>Useful for payment ecosystem context but not direct digital banking adoption.</x:v>
      </x:c>
      <x:c r="E13" s="30" t="str">
        <x:v>Keep in supporting indicators only.</x:v>
      </x:c>
      <x:c r="F13" s="30" t="str">
        <x:v>Definitions differ heavily; do not use in score or core benchmark.</x:v>
      </x:c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</x:sheetData>
  <x:mergeCells>
    <x:mergeCell ref="A1:F1"/>
    <x:mergeCell ref="A2:F2"/>
  </x:mergeCells>
  <x:pageMargins left="0.7" right="0.7" top="0.75" bottom="0.75" header="0.3" footer="0.3"/>
</x:worksheet>
</file>