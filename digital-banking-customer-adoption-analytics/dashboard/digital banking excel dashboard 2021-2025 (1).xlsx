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showInkAnnotation="0" autoCompressPictures="0"/>
  <xr:revisionPtr revIDLastSave="0" documentId="8_{AE5EF8D0-1CDB-493C-A832-99E458C67C54}" xr6:coauthVersionLast="47" xr6:coauthVersionMax="47" xr10:uidLastSave="{00000000-0000-0000-0000-000000000000}"/>
  <bookViews>
    <workbookView xWindow="0" yWindow="0" windowWidth="0" windowHeight="0" activeTab="4" xr2:uid="{00000000-000D-0000-FFFF-FFFF00000000}"/>
  </bookViews>
  <sheets>
    <sheet name="Dashboard" sheetId="1" r:id="rId1"/>
    <sheet name="Sector_Trend" sheetId="2" r:id="rId2"/>
    <sheet name="Bank_Benchmark" sheetId="3" r:id="rId3"/>
    <sheet name="Branch_Efficiency" sheetId="4" r:id="rId4"/>
    <sheet name="Strategic_Insights" sheetId="5" r:id="rId5"/>
    <sheet name="Data_TBB" sheetId="6" r:id="rId6"/>
    <sheet name="Data_Bank_KPIs" sheetId="7" r:id="rId7"/>
    <sheet name="Data_Index" sheetId="8" r:id="rId8"/>
    <sheet name="Methodology_Notes" sheetId="9" r:id="rId9"/>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<sst xmlns="http://schemas.openxmlformats.org/spreadsheetml/2006/main" count="239" uniqueCount="111">
  <si>
    <t>Digital Banking Customer Adoption &amp; Channel Migration Analytics | Turkey, 2021–2025</t>
  </si>
  <si>
    <t>Executive dashboard built from TBB sector statistics and public disclosures from Garanti BBVA, Akbank and İşbank.</t>
  </si>
  <si>
    <t>Bank</t>
  </si>
  <si>
    <t>Digital Adoption Index</t>
  </si>
  <si>
    <t>Digital Customers (M)</t>
  </si>
  <si>
    <t>Akbank</t>
  </si>
  <si>
    <t>Garanti BBVA</t>
  </si>
  <si>
    <t>2025 Active Digital Banking Records
127.7M
TBB sector total</t>
  </si>
  <si>
    <t>2025 Mobile-only Share
93.8%
TBB sector mix</t>
  </si>
  <si>
    <t>Selected Banks Digital Customers
47.4M
2025 reported/proxy</t>
  </si>
  <si>
    <t>Highest Digital Customers / Branch
22.7K
Garanti BBVA, 2025</t>
  </si>
  <si>
    <t>Index Leader
Akbank
Directional index</t>
  </si>
  <si>
    <t>İşbank</t>
  </si>
  <si>
    <t>Key Takeaways</t>
  </si>
  <si>
    <t>1</t>
  </si>
  <si>
    <t>Turkey’s digital banking market became structurally mobile-first: mobile-only share reached 93.8% by 2025.</t>
  </si>
  <si>
    <t>2</t>
  </si>
  <si>
    <t>Selected banks scaled digital customer relationships while branch networks declined or remained constrained.</t>
  </si>
  <si>
    <t>3</t>
  </si>
  <si>
    <t>Core benchmark excludes mobile/app users and POS due to inconsistent disclosure definitions across banks.</t>
  </si>
  <si>
    <t>4</t>
  </si>
  <si>
    <t>Digital Adoption Index is directional and project-specific; it is not an official regulatory ranking.</t>
  </si>
  <si>
    <t>Sector Trend: Mobile-first Digital Banking in Turkey</t>
  </si>
  <si>
    <t>Year</t>
  </si>
  <si>
    <t>Only Internet Customers (M)</t>
  </si>
  <si>
    <t>Only Mobile Customers (M)</t>
  </si>
  <si>
    <t>Both Internet+Mobile Customers (M)</t>
  </si>
  <si>
    <t>Total Active Digital Customers (M)</t>
  </si>
  <si>
    <t>Mobile-only Share</t>
  </si>
  <si>
    <t>Internet-only Share</t>
  </si>
  <si>
    <t>Both Channel Share</t>
  </si>
  <si>
    <t>YoY Total Growth</t>
  </si>
  <si>
    <t>YoY Mobile Growth</t>
  </si>
  <si>
    <t>Interpretation</t>
  </si>
  <si>
    <t>Between 2021 and 2025, active digital banking customer records increased from 77.9M to 127.7M. Mobile-only share rose from 84.6% to 93.8%, while internet-only share declined from 3.5% to 0.8%. This supports a structurally mobile-first digital banking environment.</t>
  </si>
  <si>
    <t>Selected Bank Benchmark: Core Comparable Metrics</t>
  </si>
  <si>
    <t>Customer Base (M)</t>
  </si>
  <si>
    <t>Digital Penetration</t>
  </si>
  <si>
    <t>Branches</t>
  </si>
  <si>
    <t>Employees</t>
  </si>
  <si>
    <t>ATMs</t>
  </si>
  <si>
    <t>Digital Customers / Branch</t>
  </si>
  <si>
    <t>Digital Customers / Employee</t>
  </si>
  <si>
    <t>Data Quality</t>
  </si>
  <si>
    <t>Exact</t>
  </si>
  <si>
    <t>Proxy</t>
  </si>
  <si>
    <t>Mixed</t>
  </si>
  <si>
    <t>Benchmark Caveat</t>
  </si>
  <si>
    <t>Core benchmark uses reported digital customer/user metrics and reported customer base values. Mobile/app users and POS are excluded from core scoring due to inconsistent disclosure definitions across banks.</t>
  </si>
  <si>
    <t>Branch-to-Digital Efficiency</t>
  </si>
  <si>
    <t>Digital Customers</t>
  </si>
  <si>
    <t>YoY Digital Growth</t>
  </si>
  <si>
    <t>YoY Branch Change</t>
  </si>
  <si>
    <t>Across the selected banks, digital customer scale grew while branch networks declined or remained constrained. Digital customers per branch increased materially, indicating that digital relationships scaled without proportional physical branch expansion. This is a directional channel efficiency proxy, not a full productivity measure.</t>
  </si>
  <si>
    <t>Strategic Insights &amp; Recommendations</t>
  </si>
  <si>
    <t>#</t>
  </si>
  <si>
    <t>Insight</t>
  </si>
  <si>
    <t>Business Meaning</t>
  </si>
  <si>
    <t>Mobile-first banking is now the sector baseline.</t>
  </si>
  <si>
    <t>TBB data shows that mobile-only digital banking usage dominates by 2025.</t>
  </si>
  <si>
    <t>Digital scale is decoupling from branch expansion.</t>
  </si>
  <si>
    <t>Selected banks increased digital customer scale while branch networks declined or remained limited.</t>
  </si>
  <si>
    <t>Digital customers per branch is a useful channel efficiency KPI.</t>
  </si>
  <si>
    <t>It connects digital customer scale with physical network structure.</t>
  </si>
  <si>
    <t>Mobile/app and POS metrics are valuable but not directly comparable.</t>
  </si>
  <si>
    <t>They are kept as supporting indicators due to bank-specific disclosure definitions.</t>
  </si>
  <si>
    <t>5</t>
  </si>
  <si>
    <t>Branches should be repositioned.</t>
  </si>
  <si>
    <t>Branches should focus more on advisory and complex service while mobile channels handle onboarding, engagement and routine interactions.</t>
  </si>
  <si>
    <t>Project Positioning</t>
  </si>
  <si>
    <t>This dashboard is a directional banking analytics case. It uses public disclosures and sector statistics to analyze digital customer adoption, branch-to-digital efficiency and selected-bank digital maturity. It does not claim to be a regulatory-grade ranking; instead, it demonstrates how inconsistent public disclosures can be structured into a defensible KPI framework.</t>
  </si>
  <si>
    <t>TBB Sector-Level Digital Banking Data, 2021–2025</t>
  </si>
  <si>
    <t>Bank Core KPI Data, 2021–2025</t>
  </si>
  <si>
    <t>Customer Base</t>
  </si>
  <si>
    <t>Reported Digital Penetration</t>
  </si>
  <si>
    <t>Digital Customers / ATM</t>
  </si>
  <si>
    <t>Methodology Note</t>
  </si>
  <si>
    <t>Total customers and digital banking customers from disclosed in-numbers table.</t>
  </si>
  <si>
    <t>Approximate</t>
  </si>
  <si>
    <t>Customer base, employees and ATMs are approximate disclosures; digital banking users used as digital customer proxy.</t>
  </si>
  <si>
    <t>Customer base and employees are approximate disclosures; digital banking users used as digital customer proxy.</t>
  </si>
  <si>
    <t>Customer base disclosed as total/active customer base; digital banking users used as digital customer proxy.</t>
  </si>
  <si>
    <t>Active customers and active digital users used; penetration is consistent with disclosed 87% figure.</t>
  </si>
  <si>
    <t>Customers, branches, employees and digital banking customers from annual report.</t>
  </si>
  <si>
    <t>Digital banking customers disclosed as approximately 15 million.</t>
  </si>
  <si>
    <t>Customer base disclosed as approximately 25 million.</t>
  </si>
  <si>
    <t>2025 annual report was not available. Values sourced from 4Q25 investor presentation and 2026 Offering Circular. Customer base is proxy: retail + commercial customers.</t>
  </si>
  <si>
    <t>Directional Digital Adoption Index, 2025</t>
  </si>
  <si>
    <t>Digital Customer Growth 2021–2025</t>
  </si>
  <si>
    <t>Branch Change 2021–2025</t>
  </si>
  <si>
    <t>Penetration Score</t>
  </si>
  <si>
    <t>Branch Efficiency Score</t>
  </si>
  <si>
    <t>Employee Efficiency Score</t>
  </si>
  <si>
    <t>Growth Score</t>
  </si>
  <si>
    <t>Rank</t>
  </si>
  <si>
    <t>Methodology Notes</t>
  </si>
  <si>
    <t>Topic</t>
  </si>
  <si>
    <t>Note</t>
  </si>
  <si>
    <t>Core benchmark</t>
  </si>
  <si>
    <t>Uses reported digital customers/users, reported customer base, branches, employees, ATMs, and derived efficiency/growth metrics.</t>
  </si>
  <si>
    <t>Supporting indicators</t>
  </si>
  <si>
    <t>Mobile/app users, POS, digital sales and non-branch indicators are kept outside the core score due to inconsistent disclosure definitions.</t>
  </si>
  <si>
    <t>Directional project-specific index based on normalized core metrics: penetration, digital customers per branch, digital customers per employee, and growth.</t>
  </si>
  <si>
    <t>Customer base caveat</t>
  </si>
  <si>
    <t>Customer base definitions differ by bank: total customers, active customers, customers served, and proxy values.</t>
  </si>
  <si>
    <t>İşbank 2025 caveat</t>
  </si>
  <si>
    <t>2025 values are based on Q4 investor presentation and 2026 Offering Circular because the annual report was not available during data collection.</t>
  </si>
  <si>
    <t>Akbank caveat</t>
  </si>
  <si>
    <t>Akbank digital metric is reported as digital banking users; mobile customer count is not disclosed consistently, so mobile users are excluded from core benchmark.</t>
  </si>
  <si>
    <t>TBB caveat</t>
  </si>
  <si>
    <t>TBB sector figures are aggregated across reporting banks and are not deduplicated across banks.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</si>
</sst>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
    <font>
      <sz val="11"/>
      <name val="Carlito"/>
    </font>
    <font>
      <b/>
      <sz val="16"/>
      <color rgb="FFFFFFFF"/>
      <name val="Calibri"/>
    </font>
    <font>
      <sz val="11"/>
      <name val="Calibri"/>
    </font>
    <font>
      <i/>
      <sz val="11"/>
      <color rgb="FF4F5B66"/>
      <name val="Calibri"/>
    </font>
    <font>
      <sz val="11"/>
      <color rgb="FFFFFFFF"/>
      <name val="Calibri"/>
    </font>
    <font>
      <b/>
      <sz val="12"/>
      <color rgb="FF17365D"/>
      <name val="Calibri"/>
    </font>
    <font>
      <b/>
      <sz val="12"/>
      <color rgb="FFFFFFFF"/>
      <name val="Calibri"/>
    </font>
    <font>
      <b/>
      <sz val="11"/>
      <color rgb="FFFFFFFF"/>
      <name val="Calibri"/>
    </font>
    <font>
      <sz val="11"/>
      <color rgb="FF4F5B66"/>
      <name val="Calibri"/>
    </font>
    <font>
      <sz val="12"/>
      <color rgb="FF4F5B66"/>
      <name val="Calibri"/>
    </font>
  </fonts>
  <fills count="6">
    <fill>
      <patternFill patternType="none"/>
    </fill>
    <fill>
      <patternFill patternType="gray125"/>
    </fill>
    <fill>
      <patternFill patternType="solid">
        <fgColor rgb="FF17365D"/>
      </patternFill>
    </fill>
    <fill>
      <patternFill patternType="solid">
        <fgColor rgb="FF1F4E78"/>
      </patternFill>
    </fill>
    <fill>
      <patternFill patternType="solid">
        <fgColor rgb="FFD9EAF7"/>
      </patternFill>
    </fill>
    <fill>
      <patternFill patternType="solid">
        <fgColor rgb="FFF3F6F9"/>
      </patternFill>
    </fill>
  </fills>
  <borders count="2">
    <border>
      <left/>
      <right/>
      <top/>
      <bottom/>
      <diagonal/>
    </border>
    <border>
      <left/>
      <right/>
      <top/>
      <bottom/>
      <diagonal/>
    </border>
  </borders>
  <cellStyleXfs count="1">
    <xf numFmtId="0" fontId="0" fillId="0" borderId="0"/>
  </cellStyleXfs>
  <cellXfs count="18">
    <xf numFmtId="0" fontId="0" fillId="0" borderId="0" xfId="0"/>
    <xf numFmtId="0" fontId="2" fillId="0" borderId="1" xfId="0" applyNumberFormat="1" applyFont="1" applyFill="1" applyBorder="1"/>
    <xf numFmtId="0" fontId="3" fillId="0" borderId="1" xfId="0" applyNumberFormat="1" applyFont="1" applyFill="1" applyBorder="1" applyAlignment="1">
      <alignment horizontal="center"/>
    </xf>
    <xf numFmtId="0" fontId="4" fillId="0" borderId="1" xfId="0" applyNumberFormat="1" applyFont="1" applyFill="1" applyBorder="1"/>
    <xf numFmtId="0" fontId="7" fillId="3" borderId="1" xfId="0" applyNumberFormat="1" applyFont="1" applyFill="1" applyBorder="1" applyAlignment="1">
      <alignment horizontal="center"/>
    </xf>
    <xf numFmtId="0" fontId="7" fillId="3" borderId="1" xfId="0" applyNumberFormat="1" applyFont="1" applyFill="1" applyBorder="1" applyAlignment="1">
      <alignment horizontal="center" vertical="center"/>
    </xf>
    <xf numFmtId="1" fontId="2" fillId="0" borderId="1" xfId="0" applyNumberFormat="1" applyFont="1" applyFill="1" applyBorder="1"/>
    <xf numFmtId="164" fontId="2" fillId="0" borderId="1" xfId="0" applyNumberFormat="1" applyFont="1" applyFill="1" applyBorder="1"/>
    <xf numFmtId="165" fontId="2" fillId="0" borderId="1" xfId="0" applyNumberFormat="1" applyFont="1" applyFill="1" applyBorder="1"/>
    <xf numFmtId="3" fontId="2" fillId="0" borderId="1" xfId="0" applyNumberFormat="1" applyFont="1" applyFill="1" applyBorder="1"/>
    <xf numFmtId="0" fontId="2" fillId="0" borderId="1" xfId="0" applyNumberFormat="1" applyFont="1" applyFill="1" applyBorder="1" applyAlignment="1">
      <alignment wrapText="1"/>
    </xf>
    <xf numFmtId="0" fontId="1" fillId="2" borderId="1" xfId="0" applyNumberFormat="1" applyFont="1" applyFill="1" applyBorder="1" applyAlignment="1">
      <alignment horizontal="center" vertical="center"/>
    </xf>
    <xf numFmtId="0" fontId="2" fillId="0" borderId="1" xfId="0" applyNumberFormat="1" applyFont="1" applyFill="1" applyBorder="1" applyAlignment="1"/>
    <xf numFmtId="0" fontId="5" fillId="4" borderId="1" xfId="0" applyNumberFormat="1" applyFont="1" applyFill="1" applyBorder="1" applyAlignment="1">
      <alignment horizontal="center" vertical="center" wrapText="1"/>
    </xf>
    <xf numFmtId="0" fontId="6" fillId="3" borderId="1" xfId="0" applyNumberFormat="1" applyFont="1" applyFill="1" applyBorder="1" applyAlignment="1">
      <alignment horizontal="center" vertical="center"/>
    </xf>
    <xf numFmtId="0" fontId="8" fillId="5" borderId="1" xfId="0" applyNumberFormat="1" applyFont="1" applyFill="1" applyBorder="1" applyAlignment="1">
      <alignment wrapText="1"/>
    </xf>
    <xf numFmtId="0" fontId="8" fillId="5" borderId="1" xfId="0" applyNumberFormat="1" applyFont="1" applyFill="1" applyBorder="1" applyAlignment="1">
      <alignment vertical="top" wrapText="1"/>
    </xf>
    <xf numFmtId="0" fontId="9" fillId="5"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c:style val="2"/>
  <c:chart>
    <c:autoTitleDeleted val="1"/>
    <c:plotArea>
      <c:layout/>
      <c:barChart>
        <c:barDir val="bar"/>
        <c:grouping val="clustered"/>
        <c:varyColors val="0"/>
        <c:ser>
          <c:idx val="0"/>
          <c:order val="0"/>
          <c:tx>
            <c:v>Digital Adoption Index</c:v>
          </c:tx>
          <c:invertIfNegative val="1"/>
          <c:cat>
            <c:strRef>
              <c:f>Dashboard!$P$3:$P$5</c:f>
              <c:strCache>
                <c:ptCount val="3"/>
                <c:pt idx="0">
                  <c:v>Akbank</c:v>
                </c:pt>
                <c:pt idx="1">
                  <c:v>Garanti BBVA</c:v>
                </c:pt>
                <c:pt idx="2">
                  <c:v>İşbank</c:v>
                </c:pt>
              </c:strCache>
            </c:strRef>
          </c:cat>
          <c:val>
            <c:numRef>
              <c:f>Dashboard!$Q$3:$Q$5</c:f>
              <c:numCache>
                <c:formatCode>General</c:formatCode>
                <c:ptCount val="3"/>
                <c:pt idx="0">
                  <c:v>89.334710032923354</c:v>
                </c:pt>
                <c:pt idx="1">
                  <c:v>32.227889760814584</c:v>
                </c:pt>
                <c:pt idx="2">
                  <c:v>4.9133467934872339</c:v>
                </c:pt>
              </c:numCache>
            </c:numRef>
          </c:val>
          <c:extLst>
            <c:ext xmlns:c16="http://schemas.microsoft.com/office/drawing/2014/chart" uri="{C3380CC4-5D6E-409C-BE32-E72D297353CC}">
              <c16:uniqueId val="{00000000-740D-416D-A70B-F8932CD67CBC}"/>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c:style val="2"/>
  <c:chart>
    <c:autoTitleDeleted val="1"/>
    <c:plotArea>
      <c:layout/>
      <c:barChart>
        <c:barDir val="col"/>
        <c:grouping val="clustered"/>
        <c:varyColors val="0"/>
        <c:ser>
          <c:idx val="0"/>
          <c:order val="0"/>
          <c:tx>
            <c:v>Digital Customers (M)</c:v>
          </c:tx>
          <c:invertIfNegative val="1"/>
          <c:cat>
            <c:strRef>
              <c:f>Dashboard!$S$3:$S$5</c:f>
              <c:strCache>
                <c:ptCount val="3"/>
                <c:pt idx="0">
                  <c:v>Garanti BBVA</c:v>
                </c:pt>
                <c:pt idx="1">
                  <c:v>İşbank</c:v>
                </c:pt>
                <c:pt idx="2">
                  <c:v>Akbank</c:v>
                </c:pt>
              </c:strCache>
            </c:strRef>
          </c:cat>
          <c:val>
            <c:numRef>
              <c:f>Dashboard!$T$3:$T$5</c:f>
              <c:numCache>
                <c:formatCode>General</c:formatCode>
                <c:ptCount val="3"/>
                <c:pt idx="0">
                  <c:v>18.040749000000002</c:v>
                </c:pt>
                <c:pt idx="1">
                  <c:v>16.2</c:v>
                </c:pt>
                <c:pt idx="2">
                  <c:v>13.2</c:v>
                </c:pt>
              </c:numCache>
            </c:numRef>
          </c:val>
          <c:extLst>
            <c:ext xmlns:c16="http://schemas.microsoft.com/office/drawing/2014/chart" uri="{C3380CC4-5D6E-409C-BE32-E72D297353CC}">
              <c16:uniqueId val="{00000000-4D87-4B2F-A6CA-4706325198C7}"/>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c:style val="2"/>
  <c:chart>
    <c:autoTitleDeleted val="1"/>
    <c:plotArea>
      <c:layout/>
      <c:lineChart>
        <c:grouping val="standard"/>
        <c:varyColors val="1"/>
        <c:ser>
          <c:idx val="0"/>
          <c:order val="0"/>
          <c:tx>
            <c:v>Total Active Digital Customers (M)</c:v>
          </c:tx>
          <c:cat>
            <c:numRef>
              <c:f>Sector_Trend!$A$4:$A$8</c:f>
              <c:numCache>
                <c:formatCode>0</c:formatCode>
                <c:ptCount val="5"/>
                <c:pt idx="0">
                  <c:v>2021</c:v>
                </c:pt>
                <c:pt idx="1">
                  <c:v>2022</c:v>
                </c:pt>
                <c:pt idx="2">
                  <c:v>2023</c:v>
                </c:pt>
                <c:pt idx="3">
                  <c:v>2024</c:v>
                </c:pt>
                <c:pt idx="4">
                  <c:v>2025</c:v>
                </c:pt>
              </c:numCache>
            </c:numRef>
          </c:cat>
          <c:val>
            <c:numRef>
              <c:f>Sector_Trend!$E$4:$E$8</c:f>
              <c:numCache>
                <c:formatCode>0.0</c:formatCode>
                <c:ptCount val="5"/>
                <c:pt idx="0">
                  <c:v>77.932000000000002</c:v>
                </c:pt>
                <c:pt idx="1">
                  <c:v>94.39</c:v>
                </c:pt>
                <c:pt idx="2">
                  <c:v>110.58799999999999</c:v>
                </c:pt>
                <c:pt idx="3">
                  <c:v>119.123</c:v>
                </c:pt>
                <c:pt idx="4">
                  <c:v>127.67700000000001</c:v>
                </c:pt>
              </c:numCache>
            </c:numRef>
          </c:val>
          <c:smooth val="0"/>
          <c:extLst>
            <c:ext xmlns:c16="http://schemas.microsoft.com/office/drawing/2014/chart" uri="{C3380CC4-5D6E-409C-BE32-E72D297353CC}">
              <c16:uniqueId val="{00000000-0941-46E4-9B81-D7E72E2277D5}"/>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0"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c:style val="2"/>
  <c:chart>
    <c:autoTitleDeleted val="1"/>
    <c:plotArea>
      <c:layout/>
      <c:lineChart>
        <c:grouping val="standard"/>
        <c:varyColors val="1"/>
        <c:ser>
          <c:idx val="0"/>
          <c:order val="0"/>
          <c:tx>
            <c:v>Mobile-only Share</c:v>
          </c:tx>
          <c:cat>
            <c:numRef>
              <c:f>Sector_Trend!$A$4:$A$8</c:f>
              <c:numCache>
                <c:formatCode>0</c:formatCode>
                <c:ptCount val="5"/>
                <c:pt idx="0">
                  <c:v>2021</c:v>
                </c:pt>
                <c:pt idx="1">
                  <c:v>2022</c:v>
                </c:pt>
                <c:pt idx="2">
                  <c:v>2023</c:v>
                </c:pt>
                <c:pt idx="3">
                  <c:v>2024</c:v>
                </c:pt>
                <c:pt idx="4">
                  <c:v>2025</c:v>
                </c:pt>
              </c:numCache>
            </c:numRef>
          </c:cat>
          <c:val>
            <c:numRef>
              <c:f>Sector_Trend!$F$4:$F$8</c:f>
              <c:numCache>
                <c:formatCode>0.0%</c:formatCode>
                <c:ptCount val="5"/>
                <c:pt idx="0">
                  <c:v>0.84630190419999995</c:v>
                </c:pt>
                <c:pt idx="1">
                  <c:v>0.87195677510000003</c:v>
                </c:pt>
                <c:pt idx="2">
                  <c:v>0.89108221509999996</c:v>
                </c:pt>
                <c:pt idx="3">
                  <c:v>0.92042678580000004</c:v>
                </c:pt>
                <c:pt idx="4">
                  <c:v>0.9381486094</c:v>
                </c:pt>
              </c:numCache>
            </c:numRef>
          </c:val>
          <c:smooth val="0"/>
          <c:extLst>
            <c:ext xmlns:c16="http://schemas.microsoft.com/office/drawing/2014/chart" uri="{C3380CC4-5D6E-409C-BE32-E72D297353CC}">
              <c16:uniqueId val="{00000000-ABD2-48F3-92F2-E2EB55C29D33}"/>
            </c:ext>
          </c:extLst>
        </c:ser>
        <c:ser>
          <c:idx val="1"/>
          <c:order val="1"/>
          <c:tx>
            <c:v>Internet-only Share</c:v>
          </c:tx>
          <c:cat>
            <c:numRef>
              <c:f>Sector_Trend!$A$4:$A$8</c:f>
              <c:numCache>
                <c:formatCode>0</c:formatCode>
                <c:ptCount val="5"/>
                <c:pt idx="0">
                  <c:v>2021</c:v>
                </c:pt>
                <c:pt idx="1">
                  <c:v>2022</c:v>
                </c:pt>
                <c:pt idx="2">
                  <c:v>2023</c:v>
                </c:pt>
                <c:pt idx="3">
                  <c:v>2024</c:v>
                </c:pt>
                <c:pt idx="4">
                  <c:v>2025</c:v>
                </c:pt>
              </c:numCache>
            </c:numRef>
          </c:cat>
          <c:val>
            <c:numRef>
              <c:f>Sector_Trend!$G$4:$G$8</c:f>
              <c:numCache>
                <c:formatCode>0.0%</c:formatCode>
                <c:ptCount val="5"/>
                <c:pt idx="0">
                  <c:v>3.54668172E-2</c:v>
                </c:pt>
                <c:pt idx="1">
                  <c:v>2.43775824E-2</c:v>
                </c:pt>
                <c:pt idx="2">
                  <c:v>1.6294715500000001E-2</c:v>
                </c:pt>
                <c:pt idx="3">
                  <c:v>1.1483928399999999E-2</c:v>
                </c:pt>
                <c:pt idx="4">
                  <c:v>8.4510130999999999E-3</c:v>
                </c:pt>
              </c:numCache>
            </c:numRef>
          </c:val>
          <c:smooth val="0"/>
          <c:extLst>
            <c:ext xmlns:c16="http://schemas.microsoft.com/office/drawing/2014/chart" uri="{C3380CC4-5D6E-409C-BE32-E72D297353CC}">
              <c16:uniqueId val="{00000001-ABD2-48F3-92F2-E2EB55C29D33}"/>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0"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c:style val="2"/>
  <c:chart>
    <c:autoTitleDeleted val="1"/>
    <c:plotArea>
      <c:layout/>
      <c:barChart>
        <c:barDir val="col"/>
        <c:grouping val="clustered"/>
        <c:varyColors val="0"/>
        <c:ser>
          <c:idx val="0"/>
          <c:order val="0"/>
          <c:tx>
            <c:v>Digital Penetration</c:v>
          </c:tx>
          <c:invertIfNegative val="1"/>
          <c:cat>
            <c:strRef>
              <c:f>Bank_Benchmark!$A$4:$A$6</c:f>
              <c:strCache>
                <c:ptCount val="3"/>
                <c:pt idx="0">
                  <c:v>Garanti BBVA</c:v>
                </c:pt>
                <c:pt idx="1">
                  <c:v>İşbank</c:v>
                </c:pt>
                <c:pt idx="2">
                  <c:v>Akbank</c:v>
                </c:pt>
              </c:strCache>
            </c:strRef>
          </c:cat>
          <c:val>
            <c:numRef>
              <c:f>Bank_Benchmark!$D$4:$D$6</c:f>
              <c:numCache>
                <c:formatCode>0.0%</c:formatCode>
                <c:ptCount val="3"/>
                <c:pt idx="0">
                  <c:v>0.59853203174609493</c:v>
                </c:pt>
                <c:pt idx="1">
                  <c:v>0.63529411764705879</c:v>
                </c:pt>
                <c:pt idx="2">
                  <c:v>0.86842105263157898</c:v>
                </c:pt>
              </c:numCache>
            </c:numRef>
          </c:val>
          <c:extLst>
            <c:ext xmlns:c16="http://schemas.microsoft.com/office/drawing/2014/chart" uri="{C3380CC4-5D6E-409C-BE32-E72D297353CC}">
              <c16:uniqueId val="{00000000-B800-4DF4-96EA-1F02885B0CE6}"/>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c:style val="2"/>
  <c:chart>
    <c:autoTitleDeleted val="1"/>
    <c:plotArea>
      <c:layout/>
      <c:barChart>
        <c:barDir val="col"/>
        <c:grouping val="clustered"/>
        <c:varyColors val="0"/>
        <c:ser>
          <c:idx val="0"/>
          <c:order val="0"/>
          <c:tx>
            <c:v>Digital Customers / Branch</c:v>
          </c:tx>
          <c:invertIfNegative val="1"/>
          <c:cat>
            <c:strRef>
              <c:f>Bank_Benchmark!$A$4:$A$6</c:f>
              <c:strCache>
                <c:ptCount val="3"/>
                <c:pt idx="0">
                  <c:v>Garanti BBVA</c:v>
                </c:pt>
                <c:pt idx="1">
                  <c:v>İşbank</c:v>
                </c:pt>
                <c:pt idx="2">
                  <c:v>Akbank</c:v>
                </c:pt>
              </c:strCache>
            </c:strRef>
          </c:cat>
          <c:val>
            <c:numRef>
              <c:f>Bank_Benchmark!$H$4:$H$6</c:f>
              <c:numCache>
                <c:formatCode>#,##0</c:formatCode>
                <c:ptCount val="3"/>
                <c:pt idx="0">
                  <c:v>22692.766037735848</c:v>
                </c:pt>
                <c:pt idx="1">
                  <c:v>16248.746238716149</c:v>
                </c:pt>
                <c:pt idx="2">
                  <c:v>20401.854714064913</c:v>
                </c:pt>
              </c:numCache>
            </c:numRef>
          </c:val>
          <c:extLst>
            <c:ext xmlns:c16="http://schemas.microsoft.com/office/drawing/2014/chart" uri="{C3380CC4-5D6E-409C-BE32-E72D297353CC}">
              <c16:uniqueId val="{00000000-07FD-4EBF-99D1-4C1C47185AE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c:style val="2"/>
  <c:chart>
    <c:autoTitleDeleted val="1"/>
    <c:plotArea>
      <c:layout/>
      <c:lineChart>
        <c:grouping val="standard"/>
        <c:varyColors val="1"/>
        <c:ser>
          <c:idx val="0"/>
          <c:order val="0"/>
          <c:tx>
            <c:v>Garanti BBVA</c:v>
          </c:tx>
          <c:cat>
            <c:numRef>
              <c:f>Branch_Efficiency!$K$4:$K$8</c:f>
              <c:numCache>
                <c:formatCode>General</c:formatCode>
                <c:ptCount val="5"/>
                <c:pt idx="0">
                  <c:v>2021</c:v>
                </c:pt>
                <c:pt idx="1">
                  <c:v>2022</c:v>
                </c:pt>
                <c:pt idx="2">
                  <c:v>2023</c:v>
                </c:pt>
                <c:pt idx="3">
                  <c:v>2024</c:v>
                </c:pt>
                <c:pt idx="4">
                  <c:v>2025</c:v>
                </c:pt>
              </c:numCache>
            </c:numRef>
          </c:cat>
          <c:val>
            <c:numRef>
              <c:f>Branch_Efficiency!$L$4:$L$8</c:f>
              <c:numCache>
                <c:formatCode>#,##0</c:formatCode>
                <c:ptCount val="5"/>
                <c:pt idx="0">
                  <c:v>12660.722477064221</c:v>
                </c:pt>
                <c:pt idx="1">
                  <c:v>15973.933174224343</c:v>
                </c:pt>
                <c:pt idx="2">
                  <c:v>18691.837267080744</c:v>
                </c:pt>
                <c:pt idx="3">
                  <c:v>21029.450314465408</c:v>
                </c:pt>
                <c:pt idx="4">
                  <c:v>22692.766037735848</c:v>
                </c:pt>
              </c:numCache>
            </c:numRef>
          </c:val>
          <c:smooth val="0"/>
          <c:extLst>
            <c:ext xmlns:c16="http://schemas.microsoft.com/office/drawing/2014/chart" uri="{C3380CC4-5D6E-409C-BE32-E72D297353CC}">
              <c16:uniqueId val="{00000000-F916-42C3-885E-32E7873D74B5}"/>
            </c:ext>
          </c:extLst>
        </c:ser>
        <c:ser>
          <c:idx val="1"/>
          <c:order val="1"/>
          <c:tx>
            <c:v>Akbank</c:v>
          </c:tx>
          <c:cat>
            <c:numRef>
              <c:f>Branch_Efficiency!$K$4:$K$8</c:f>
              <c:numCache>
                <c:formatCode>General</c:formatCode>
                <c:ptCount val="5"/>
                <c:pt idx="0">
                  <c:v>2021</c:v>
                </c:pt>
                <c:pt idx="1">
                  <c:v>2022</c:v>
                </c:pt>
                <c:pt idx="2">
                  <c:v>2023</c:v>
                </c:pt>
                <c:pt idx="3">
                  <c:v>2024</c:v>
                </c:pt>
                <c:pt idx="4">
                  <c:v>2025</c:v>
                </c:pt>
              </c:numCache>
            </c:numRef>
          </c:cat>
          <c:val>
            <c:numRef>
              <c:f>Branch_Efficiency!$M$4:$M$8</c:f>
              <c:numCache>
                <c:formatCode>#,##0</c:formatCode>
                <c:ptCount val="5"/>
                <c:pt idx="0">
                  <c:v>9282.7004219409282</c:v>
                </c:pt>
                <c:pt idx="1">
                  <c:v>12236.286919831224</c:v>
                </c:pt>
                <c:pt idx="2">
                  <c:v>15886.524822695035</c:v>
                </c:pt>
                <c:pt idx="3">
                  <c:v>18011.527377521616</c:v>
                </c:pt>
                <c:pt idx="4">
                  <c:v>20401.854714064913</c:v>
                </c:pt>
              </c:numCache>
            </c:numRef>
          </c:val>
          <c:smooth val="0"/>
          <c:extLst>
            <c:ext xmlns:c16="http://schemas.microsoft.com/office/drawing/2014/chart" uri="{C3380CC4-5D6E-409C-BE32-E72D297353CC}">
              <c16:uniqueId val="{00000001-F916-42C3-885E-32E7873D74B5}"/>
            </c:ext>
          </c:extLst>
        </c:ser>
        <c:ser>
          <c:idx val="2"/>
          <c:order val="2"/>
          <c:tx>
            <c:v>İşbank</c:v>
          </c:tx>
          <c:cat>
            <c:numRef>
              <c:f>Branch_Efficiency!$K$4:$K$8</c:f>
              <c:numCache>
                <c:formatCode>General</c:formatCode>
                <c:ptCount val="5"/>
                <c:pt idx="0">
                  <c:v>2021</c:v>
                </c:pt>
                <c:pt idx="1">
                  <c:v>2022</c:v>
                </c:pt>
                <c:pt idx="2">
                  <c:v>2023</c:v>
                </c:pt>
                <c:pt idx="3">
                  <c:v>2024</c:v>
                </c:pt>
                <c:pt idx="4">
                  <c:v>2025</c:v>
                </c:pt>
              </c:numCache>
            </c:numRef>
          </c:cat>
          <c:val>
            <c:numRef>
              <c:f>Branch_Efficiency!$N$4:$N$8</c:f>
              <c:numCache>
                <c:formatCode>#,##0</c:formatCode>
                <c:ptCount val="5"/>
                <c:pt idx="0">
                  <c:v>8688.2453151618392</c:v>
                </c:pt>
                <c:pt idx="1">
                  <c:v>11711.711711711712</c:v>
                </c:pt>
                <c:pt idx="2">
                  <c:v>14071.294559099437</c:v>
                </c:pt>
                <c:pt idx="3">
                  <c:v>16501.97628458498</c:v>
                </c:pt>
                <c:pt idx="4">
                  <c:v>16248.746238716149</c:v>
                </c:pt>
              </c:numCache>
            </c:numRef>
          </c:val>
          <c:smooth val="0"/>
          <c:extLst>
            <c:ext xmlns:c16="http://schemas.microsoft.com/office/drawing/2014/chart" uri="{C3380CC4-5D6E-409C-BE32-E72D297353CC}">
              <c16:uniqueId val="{00000002-F916-42C3-885E-32E7873D74B5}"/>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c:style val="2"/>
  <c:chart>
    <c:autoTitleDeleted val="1"/>
    <c:plotArea>
      <c:layout/>
      <c:lineChart>
        <c:grouping val="standard"/>
        <c:varyColors val="1"/>
        <c:ser>
          <c:idx val="0"/>
          <c:order val="0"/>
          <c:tx>
            <c:v>Garanti BBVA</c:v>
          </c:tx>
          <c:cat>
            <c:numRef>
              <c:f>Branch_Efficiency!$K$12:$K$16</c:f>
              <c:numCache>
                <c:formatCode>General</c:formatCode>
                <c:ptCount val="5"/>
                <c:pt idx="0">
                  <c:v>2021</c:v>
                </c:pt>
                <c:pt idx="1">
                  <c:v>2022</c:v>
                </c:pt>
                <c:pt idx="2">
                  <c:v>2023</c:v>
                </c:pt>
                <c:pt idx="3">
                  <c:v>2024</c:v>
                </c:pt>
                <c:pt idx="4">
                  <c:v>2025</c:v>
                </c:pt>
              </c:numCache>
            </c:numRef>
          </c:cat>
          <c:val>
            <c:numRef>
              <c:f>Branch_Efficiency!$L$12:$L$16</c:f>
              <c:numCache>
                <c:formatCode>#,##0</c:formatCode>
                <c:ptCount val="5"/>
                <c:pt idx="0">
                  <c:v>526.67445854403206</c:v>
                </c:pt>
                <c:pt idx="1">
                  <c:v>617.32872163807417</c:v>
                </c:pt>
                <c:pt idx="2">
                  <c:v>683.45426053779067</c:v>
                </c:pt>
                <c:pt idx="3">
                  <c:v>737.66382809742322</c:v>
                </c:pt>
                <c:pt idx="4">
                  <c:v>773.91570503195919</c:v>
                </c:pt>
              </c:numCache>
            </c:numRef>
          </c:val>
          <c:smooth val="0"/>
          <c:extLst>
            <c:ext xmlns:c16="http://schemas.microsoft.com/office/drawing/2014/chart" uri="{C3380CC4-5D6E-409C-BE32-E72D297353CC}">
              <c16:uniqueId val="{00000000-1226-498A-A400-B1A3FD54F628}"/>
            </c:ext>
          </c:extLst>
        </c:ser>
        <c:ser>
          <c:idx val="1"/>
          <c:order val="1"/>
          <c:tx>
            <c:v>Akbank</c:v>
          </c:tx>
          <c:cat>
            <c:numRef>
              <c:f>Branch_Efficiency!$K$12:$K$16</c:f>
              <c:numCache>
                <c:formatCode>General</c:formatCode>
                <c:ptCount val="5"/>
                <c:pt idx="0">
                  <c:v>2021</c:v>
                </c:pt>
                <c:pt idx="1">
                  <c:v>2022</c:v>
                </c:pt>
                <c:pt idx="2">
                  <c:v>2023</c:v>
                </c:pt>
                <c:pt idx="3">
                  <c:v>2024</c:v>
                </c:pt>
                <c:pt idx="4">
                  <c:v>2025</c:v>
                </c:pt>
              </c:numCache>
            </c:numRef>
          </c:cat>
          <c:val>
            <c:numRef>
              <c:f>Branch_Efficiency!$M$12:$M$16</c:f>
              <c:numCache>
                <c:formatCode>#,##0</c:formatCode>
                <c:ptCount val="5"/>
                <c:pt idx="0">
                  <c:v>550</c:v>
                </c:pt>
                <c:pt idx="1">
                  <c:v>725</c:v>
                </c:pt>
                <c:pt idx="2">
                  <c:v>933.33333333333337</c:v>
                </c:pt>
                <c:pt idx="3">
                  <c:v>978.24385662858037</c:v>
                </c:pt>
                <c:pt idx="4">
                  <c:v>1048.367881820348</c:v>
                </c:pt>
              </c:numCache>
            </c:numRef>
          </c:val>
          <c:smooth val="0"/>
          <c:extLst>
            <c:ext xmlns:c16="http://schemas.microsoft.com/office/drawing/2014/chart" uri="{C3380CC4-5D6E-409C-BE32-E72D297353CC}">
              <c16:uniqueId val="{00000001-1226-498A-A400-B1A3FD54F628}"/>
            </c:ext>
          </c:extLst>
        </c:ser>
        <c:ser>
          <c:idx val="2"/>
          <c:order val="2"/>
          <c:tx>
            <c:v>İşbank</c:v>
          </c:tx>
          <c:cat>
            <c:numRef>
              <c:f>Branch_Efficiency!$K$12:$K$16</c:f>
              <c:numCache>
                <c:formatCode>General</c:formatCode>
                <c:ptCount val="5"/>
                <c:pt idx="0">
                  <c:v>2021</c:v>
                </c:pt>
                <c:pt idx="1">
                  <c:v>2022</c:v>
                </c:pt>
                <c:pt idx="2">
                  <c:v>2023</c:v>
                </c:pt>
                <c:pt idx="3">
                  <c:v>2024</c:v>
                </c:pt>
                <c:pt idx="4">
                  <c:v>2025</c:v>
                </c:pt>
              </c:numCache>
            </c:numRef>
          </c:cat>
          <c:val>
            <c:numRef>
              <c:f>Branch_Efficiency!$N$12:$N$16</c:f>
              <c:numCache>
                <c:formatCode>#,##0</c:formatCode>
                <c:ptCount val="5"/>
                <c:pt idx="0">
                  <c:v>447.32918165073238</c:v>
                </c:pt>
                <c:pt idx="1">
                  <c:v>557.72448410485219</c:v>
                </c:pt>
                <c:pt idx="2">
                  <c:v>708.65025747626021</c:v>
                </c:pt>
                <c:pt idx="3">
                  <c:v>812.25680933852141</c:v>
                </c:pt>
                <c:pt idx="4">
                  <c:v>785.2641783809986</c:v>
                </c:pt>
              </c:numCache>
            </c:numRef>
          </c:val>
          <c:smooth val="0"/>
          <c:extLst>
            <c:ext xmlns:c16="http://schemas.microsoft.com/office/drawing/2014/chart" uri="{C3380CC4-5D6E-409C-BE32-E72D297353CC}">
              <c16:uniqueId val="{00000002-1226-498A-A400-B1A3FD54F628}"/>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0</xdr:rowOff>
    </xdr:from>
    <xdr:to>
      <xdr:col>7</xdr:col>
      <xdr:colOff>0</xdr:colOff>
      <xdr:row>23</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7</xdr:row>
      <xdr:rowOff>0</xdr:rowOff>
    </xdr:from>
    <xdr:to>
      <xdr:col>14</xdr:col>
      <xdr:colOff>0</xdr:colOff>
      <xdr:row>23</xdr:row>
      <xdr:rowOff>0</xdr:rowOff>
    </xdr:to>
    <xdr:graphicFrame macro="">
      <xdr:nvGraphicFramePr>
        <xdr:cNvPr id="3" nam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0</xdr:rowOff>
    </xdr:from>
    <xdr:to>
      <xdr:col>6</xdr:col>
      <xdr:colOff>0</xdr:colOff>
      <xdr:row>27</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10</xdr:row>
      <xdr:rowOff>0</xdr:rowOff>
    </xdr:from>
    <xdr:to>
      <xdr:col>12</xdr:col>
      <xdr:colOff>0</xdr:colOff>
      <xdr:row>27</xdr:row>
      <xdr:rowOff>0</xdr:rowOff>
    </xdr:to>
    <xdr:graphicFrame macro="">
      <xdr:nvGraphicFramePr>
        <xdr:cNvPr id="3" nam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8</xdr:row>
      <xdr:rowOff>0</xdr:rowOff>
    </xdr:from>
    <xdr:to>
      <xdr:col>6</xdr:col>
      <xdr:colOff>0</xdr:colOff>
      <xdr:row>24</xdr:row>
      <xdr:rowOff>0</xdr:rowOff>
    </xdr:to>
    <xdr:graphicFrame macro="">
      <xdr:nvGraphicFramePr>
        <xdr:cNvPr id="2" nam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8</xdr:row>
      <xdr:rowOff>0</xdr:rowOff>
    </xdr:from>
    <xdr:to>
      <xdr:col>12</xdr:col>
      <xdr:colOff>0</xdr:colOff>
      <xdr:row>24</xdr:row>
      <xdr:rowOff>0</xdr:rowOff>
    </xdr:to>
    <xdr:graphicFrame macro="">
      <xdr:nvGraphicFramePr>
        <xdr:cNvPr id="3" name="Chart">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20</xdr:row>
      <xdr:rowOff>0</xdr:rowOff>
    </xdr:from>
    <xdr:to>
      <xdr:col>6</xdr:col>
      <xdr:colOff>0</xdr:colOff>
      <xdr:row>37</xdr:row>
      <xdr:rowOff>0</xdr:rowOff>
    </xdr:to>
    <xdr:graphicFrame macro="">
      <xdr:nvGraphicFramePr>
        <xdr:cNvPr id="2" nam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20</xdr:row>
      <xdr:rowOff>0</xdr:rowOff>
    </xdr:from>
    <xdr:to>
      <xdr:col>12</xdr:col>
      <xdr:colOff>0</xdr:colOff>
      <xdr:row>37</xdr:row>
      <xdr:rowOff>0</xdr:rowOff>
    </xdr:to>
    <xdr:graphicFrame macro="">
      <xdr:nvGraphicFramePr>
        <xdr:cNvPr id="3" name="Char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BTable" displayName="TBBTable" ref="A3:J8">
  <tableColumns count="10">
    <tableColumn id="1" xr3:uid="{00000000-0010-0000-0000-000001000000}" name="Year"/>
    <tableColumn id="2" xr3:uid="{00000000-0010-0000-0000-000002000000}" name="Only Internet Customers (M)"/>
    <tableColumn id="3" xr3:uid="{00000000-0010-0000-0000-000003000000}" name="Only Mobile Customers (M)"/>
    <tableColumn id="4" xr3:uid="{00000000-0010-0000-0000-000004000000}" name="Both Internet+Mobile Customers (M)"/>
    <tableColumn id="5" xr3:uid="{00000000-0010-0000-0000-000005000000}" name="Total Active Digital Customers (M)"/>
    <tableColumn id="6" xr3:uid="{00000000-0010-0000-0000-000006000000}" name="Mobile-only Share"/>
    <tableColumn id="7" xr3:uid="{00000000-0010-0000-0000-000007000000}" name="Internet-only Share"/>
    <tableColumn id="8" xr3:uid="{00000000-0010-0000-0000-000008000000}" name="Both Channel Share"/>
    <tableColumn id="9" xr3:uid="{00000000-0010-0000-0000-000009000000}" name="YoY Total Growth"/>
    <tableColumn id="10" xr3:uid="{00000000-0010-0000-0000-00000A000000}" name="YoY Mobile Grow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ankKPIs" displayName="BankKPIs" ref="A3:O18">
  <tableColumns count="15">
    <tableColumn id="1" xr3:uid="{00000000-0010-0000-0100-000001000000}" name="Bank"/>
    <tableColumn id="2" xr3:uid="{00000000-0010-0000-0100-000002000000}" name="Year"/>
    <tableColumn id="3" xr3:uid="{00000000-0010-0000-0100-000003000000}" name="Customer Base"/>
    <tableColumn id="4" xr3:uid="{00000000-0010-0000-0100-000004000000}" name="Digital Customers"/>
    <tableColumn id="5" xr3:uid="{00000000-0010-0000-0100-000005000000}" name="Branches"/>
    <tableColumn id="6" xr3:uid="{00000000-0010-0000-0100-000006000000}" name="Employees"/>
    <tableColumn id="7" xr3:uid="{00000000-0010-0000-0100-000007000000}" name="ATMs"/>
    <tableColumn id="8" xr3:uid="{00000000-0010-0000-0100-000008000000}" name="Reported Digital Penetration"/>
    <tableColumn id="9" xr3:uid="{00000000-0010-0000-0100-000009000000}" name="Digital Customers / Branch"/>
    <tableColumn id="10" xr3:uid="{00000000-0010-0000-0100-00000A000000}" name="Digital Customers / Employee"/>
    <tableColumn id="11" xr3:uid="{00000000-0010-0000-0100-00000B000000}" name="Digital Customers / ATM"/>
    <tableColumn id="12" xr3:uid="{00000000-0010-0000-0100-00000C000000}" name="YoY Digital Growth"/>
    <tableColumn id="13" xr3:uid="{00000000-0010-0000-0100-00000D000000}" name="YoY Branch Change"/>
    <tableColumn id="14" xr3:uid="{00000000-0010-0000-0100-00000E000000}" name="Data Quality"/>
    <tableColumn id="15" xr3:uid="{00000000-0010-0000-0100-00000F000000}" name="Methodology No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Index2025" displayName="Index2025" ref="A3:P6">
  <tableColumns count="16">
    <tableColumn id="1" xr3:uid="{00000000-0010-0000-0200-000001000000}" name="Bank"/>
    <tableColumn id="2" xr3:uid="{00000000-0010-0000-0200-000002000000}" name="Customer Base (M)"/>
    <tableColumn id="3" xr3:uid="{00000000-0010-0000-0200-000003000000}" name="Digital Customers (M)"/>
    <tableColumn id="4" xr3:uid="{00000000-0010-0000-0200-000004000000}" name="Reported Digital Penetration"/>
    <tableColumn id="5" xr3:uid="{00000000-0010-0000-0200-000005000000}" name="Digital Customers / Branch"/>
    <tableColumn id="6" xr3:uid="{00000000-0010-0000-0200-000006000000}" name="Digital Customers / Employee"/>
    <tableColumn id="7" xr3:uid="{00000000-0010-0000-0200-000007000000}" name="Digital Customers / ATM"/>
    <tableColumn id="8" xr3:uid="{00000000-0010-0000-0200-000008000000}" name="Digital Customer Growth 2021–2025"/>
    <tableColumn id="9" xr3:uid="{00000000-0010-0000-0200-000009000000}" name="Branch Change 2021–2025"/>
    <tableColumn id="10" xr3:uid="{00000000-0010-0000-0200-00000A000000}" name="Data Quality"/>
    <tableColumn id="11" xr3:uid="{00000000-0010-0000-0200-00000B000000}" name="Penetration Score"/>
    <tableColumn id="12" xr3:uid="{00000000-0010-0000-0200-00000C000000}" name="Branch Efficiency Score"/>
    <tableColumn id="13" xr3:uid="{00000000-0010-0000-0200-00000D000000}" name="Employee Efficiency Score"/>
    <tableColumn id="14" xr3:uid="{00000000-0010-0000-0200-00000E000000}" name="Growth Score"/>
    <tableColumn id="15" xr3:uid="{00000000-0010-0000-0200-00000F000000}" name="Digital Adoption Index"/>
    <tableColumn id="16" xr3:uid="{00000000-0010-0000-0200-000010000000}" name="Rank"/>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
  <sheetViews>
    <sheetView zoomScaleNormal="100" zoomScaleSheetLayoutView="100" workbookViewId="0"/>
  </sheetViews>
  <sheetFormatPr defaultRowHeight="15"/>
  <cols>
    <col min="1" max="1" width="8" customWidth="1"/>
    <col min="2" max="14" width="15" customWidth="1"/>
    <col min="16" max="17" width="3" customWidth="1"/>
    <col min="19" max="20" width="3" customWidth="1"/>
  </cols>
  <sheetData>
    <row r="1" spans="1:26" ht="27.95" customHeight="1">
      <c r="A1" s="11" t="s">
        <v>0</v>
      </c>
      <c r="B1" s="12"/>
      <c r="C1" s="12"/>
      <c r="D1" s="12"/>
      <c r="E1" s="12"/>
      <c r="F1" s="12"/>
      <c r="G1" s="12"/>
      <c r="H1" s="12"/>
      <c r="I1" s="12"/>
      <c r="J1" s="12"/>
      <c r="K1" s="12"/>
      <c r="L1" s="12"/>
      <c r="M1" s="12"/>
      <c r="N1" s="12"/>
      <c r="O1" s="1"/>
      <c r="P1" s="1"/>
      <c r="Q1" s="1"/>
      <c r="R1" s="1"/>
      <c r="S1" s="1"/>
      <c r="T1" s="1"/>
      <c r="U1" s="1"/>
      <c r="V1" s="1"/>
      <c r="W1" s="1"/>
      <c r="X1" s="1"/>
      <c r="Y1" s="1"/>
      <c r="Z1" s="1"/>
    </row>
    <row r="2" spans="1:26">
      <c r="A2" s="2" t="s">
        <v>1</v>
      </c>
      <c r="B2" s="2" t="s">
        <v>1</v>
      </c>
      <c r="C2" s="2" t="s">
        <v>1</v>
      </c>
      <c r="D2" s="2" t="s">
        <v>1</v>
      </c>
      <c r="E2" s="2" t="s">
        <v>1</v>
      </c>
      <c r="F2" s="2" t="s">
        <v>1</v>
      </c>
      <c r="G2" s="2" t="s">
        <v>1</v>
      </c>
      <c r="H2" s="2" t="s">
        <v>1</v>
      </c>
      <c r="I2" s="2" t="s">
        <v>1</v>
      </c>
      <c r="J2" s="2" t="s">
        <v>1</v>
      </c>
      <c r="K2" s="2" t="s">
        <v>1</v>
      </c>
      <c r="L2" s="2" t="s">
        <v>1</v>
      </c>
      <c r="M2" s="2" t="s">
        <v>1</v>
      </c>
      <c r="N2" s="2" t="s">
        <v>1</v>
      </c>
      <c r="O2" s="1"/>
      <c r="P2" s="3" t="s">
        <v>2</v>
      </c>
      <c r="Q2" s="3" t="s">
        <v>3</v>
      </c>
      <c r="R2" s="1"/>
      <c r="S2" s="3" t="s">
        <v>2</v>
      </c>
      <c r="T2" s="3" t="s">
        <v>4</v>
      </c>
      <c r="U2" s="1"/>
      <c r="V2" s="1"/>
      <c r="W2" s="1"/>
      <c r="X2" s="1"/>
      <c r="Y2" s="1"/>
      <c r="Z2" s="1"/>
    </row>
    <row r="3" spans="1:26">
      <c r="A3" s="1"/>
      <c r="B3" s="1"/>
      <c r="C3" s="1"/>
      <c r="D3" s="1"/>
      <c r="E3" s="1"/>
      <c r="F3" s="1"/>
      <c r="G3" s="1"/>
      <c r="H3" s="1"/>
      <c r="I3" s="1"/>
      <c r="J3" s="1"/>
      <c r="K3" s="1"/>
      <c r="L3" s="1"/>
      <c r="M3" s="1"/>
      <c r="N3" s="1"/>
      <c r="O3" s="1"/>
      <c r="P3" s="3" t="s">
        <v>5</v>
      </c>
      <c r="Q3" s="3">
        <v>89.334710032923354</v>
      </c>
      <c r="R3" s="1"/>
      <c r="S3" s="3" t="s">
        <v>6</v>
      </c>
      <c r="T3" s="3">
        <v>18.040749000000002</v>
      </c>
      <c r="U3" s="1"/>
      <c r="V3" s="1"/>
      <c r="W3" s="1"/>
      <c r="X3" s="1"/>
      <c r="Y3" s="1"/>
      <c r="Z3" s="1"/>
    </row>
    <row r="4" spans="1:26">
      <c r="A4" s="13" t="s">
        <v>7</v>
      </c>
      <c r="B4" s="12"/>
      <c r="C4" s="12"/>
      <c r="D4" s="13" t="s">
        <v>8</v>
      </c>
      <c r="E4" s="12"/>
      <c r="F4" s="12"/>
      <c r="G4" s="13" t="s">
        <v>9</v>
      </c>
      <c r="H4" s="12"/>
      <c r="I4" s="12"/>
      <c r="J4" s="13" t="s">
        <v>10</v>
      </c>
      <c r="K4" s="12"/>
      <c r="L4" s="12"/>
      <c r="M4" s="13" t="s">
        <v>11</v>
      </c>
      <c r="N4" s="12"/>
      <c r="O4" s="1"/>
      <c r="P4" s="3" t="s">
        <v>6</v>
      </c>
      <c r="Q4" s="3">
        <v>32.227889760814584</v>
      </c>
      <c r="R4" s="1"/>
      <c r="S4" s="3" t="s">
        <v>12</v>
      </c>
      <c r="T4" s="3">
        <v>16.2</v>
      </c>
      <c r="U4" s="1"/>
      <c r="V4" s="1"/>
      <c r="W4" s="1"/>
      <c r="X4" s="1"/>
      <c r="Y4" s="1"/>
      <c r="Z4" s="1"/>
    </row>
    <row r="5" spans="1:26">
      <c r="A5" s="12"/>
      <c r="B5" s="12"/>
      <c r="C5" s="12"/>
      <c r="D5" s="12"/>
      <c r="E5" s="12"/>
      <c r="F5" s="12"/>
      <c r="G5" s="12"/>
      <c r="H5" s="12"/>
      <c r="I5" s="12"/>
      <c r="J5" s="12"/>
      <c r="K5" s="12"/>
      <c r="L5" s="12"/>
      <c r="M5" s="12"/>
      <c r="N5" s="12"/>
      <c r="O5" s="1"/>
      <c r="P5" s="3" t="s">
        <v>12</v>
      </c>
      <c r="Q5" s="3">
        <v>4.9133467934872339</v>
      </c>
      <c r="R5" s="1"/>
      <c r="S5" s="3" t="s">
        <v>5</v>
      </c>
      <c r="T5" s="3">
        <v>13.2</v>
      </c>
      <c r="U5" s="1"/>
      <c r="V5" s="1"/>
      <c r="W5" s="1"/>
      <c r="X5" s="1"/>
      <c r="Y5" s="1"/>
      <c r="Z5" s="1"/>
    </row>
    <row r="6" spans="1:26">
      <c r="A6" s="12"/>
      <c r="B6" s="12"/>
      <c r="C6" s="12"/>
      <c r="D6" s="12"/>
      <c r="E6" s="12"/>
      <c r="F6" s="12"/>
      <c r="G6" s="12"/>
      <c r="H6" s="12"/>
      <c r="I6" s="12"/>
      <c r="J6" s="12"/>
      <c r="K6" s="12"/>
      <c r="L6" s="12"/>
      <c r="M6" s="12"/>
      <c r="N6" s="12"/>
      <c r="O6" s="1"/>
      <c r="P6" s="1"/>
      <c r="Q6" s="1"/>
      <c r="R6" s="1"/>
      <c r="S6" s="1"/>
      <c r="T6" s="1"/>
      <c r="U6" s="1"/>
      <c r="V6" s="1"/>
      <c r="W6" s="1"/>
      <c r="X6" s="1"/>
      <c r="Y6" s="1"/>
      <c r="Z6" s="1"/>
    </row>
    <row r="7" spans="1:26">
      <c r="A7" s="1"/>
      <c r="B7" s="1"/>
      <c r="C7" s="1"/>
      <c r="D7" s="1"/>
      <c r="E7" s="1"/>
      <c r="F7" s="1"/>
      <c r="G7" s="1"/>
      <c r="H7" s="1"/>
      <c r="I7" s="1"/>
      <c r="J7" s="1"/>
      <c r="K7" s="1"/>
      <c r="L7" s="1"/>
      <c r="M7" s="1"/>
      <c r="N7" s="1"/>
      <c r="O7" s="1"/>
      <c r="P7" s="1"/>
      <c r="Q7" s="1"/>
      <c r="R7" s="1"/>
      <c r="S7" s="1"/>
      <c r="T7" s="1"/>
      <c r="U7" s="1"/>
      <c r="V7" s="1"/>
      <c r="W7" s="1"/>
      <c r="X7" s="1"/>
      <c r="Y7" s="1"/>
      <c r="Z7" s="1"/>
    </row>
    <row r="8" spans="1:26">
      <c r="A8" s="1"/>
      <c r="B8" s="1"/>
      <c r="C8" s="1"/>
      <c r="D8" s="1"/>
      <c r="E8" s="1"/>
      <c r="F8" s="1"/>
      <c r="G8" s="1"/>
      <c r="H8" s="1"/>
      <c r="I8" s="1"/>
      <c r="J8" s="1"/>
      <c r="K8" s="1"/>
      <c r="L8" s="1"/>
      <c r="M8" s="1"/>
      <c r="N8" s="1"/>
      <c r="O8" s="1"/>
      <c r="P8" s="1"/>
      <c r="Q8" s="1"/>
      <c r="R8" s="1"/>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4" t="s">
        <v>13</v>
      </c>
      <c r="B25" s="12"/>
      <c r="C25" s="12"/>
      <c r="D25" s="12"/>
      <c r="E25" s="12"/>
      <c r="F25" s="12"/>
      <c r="G25" s="12"/>
      <c r="H25" s="12"/>
      <c r="I25" s="12"/>
      <c r="J25" s="12"/>
      <c r="K25" s="12"/>
      <c r="L25" s="12"/>
      <c r="M25" s="12"/>
      <c r="N25" s="12"/>
      <c r="O25" s="1"/>
      <c r="P25" s="1"/>
      <c r="Q25" s="1"/>
      <c r="R25" s="1"/>
      <c r="S25" s="1"/>
      <c r="T25" s="1"/>
      <c r="U25" s="1"/>
      <c r="V25" s="1"/>
      <c r="W25" s="1"/>
      <c r="X25" s="1"/>
      <c r="Y25" s="1"/>
      <c r="Z25" s="1"/>
    </row>
    <row r="26" spans="1:26">
      <c r="A26" s="4" t="s">
        <v>14</v>
      </c>
      <c r="B26" s="15" t="s">
        <v>15</v>
      </c>
      <c r="C26" s="15"/>
      <c r="D26" s="15"/>
      <c r="E26" s="15"/>
      <c r="F26" s="15"/>
      <c r="G26" s="15"/>
      <c r="H26" s="15"/>
      <c r="I26" s="15"/>
      <c r="J26" s="15"/>
      <c r="K26" s="15"/>
      <c r="L26" s="15"/>
      <c r="M26" s="15"/>
      <c r="N26" s="15"/>
      <c r="O26" s="1"/>
      <c r="P26" s="1"/>
      <c r="Q26" s="1"/>
      <c r="R26" s="1"/>
      <c r="S26" s="1"/>
      <c r="T26" s="1"/>
      <c r="U26" s="1"/>
      <c r="V26" s="1"/>
      <c r="W26" s="1"/>
      <c r="X26" s="1"/>
      <c r="Y26" s="1"/>
      <c r="Z26" s="1"/>
    </row>
    <row r="27" spans="1:26">
      <c r="A27" s="4" t="s">
        <v>16</v>
      </c>
      <c r="B27" s="15" t="s">
        <v>17</v>
      </c>
      <c r="C27" s="15"/>
      <c r="D27" s="15"/>
      <c r="E27" s="15"/>
      <c r="F27" s="15"/>
      <c r="G27" s="15"/>
      <c r="H27" s="15"/>
      <c r="I27" s="15"/>
      <c r="J27" s="15"/>
      <c r="K27" s="15"/>
      <c r="L27" s="15"/>
      <c r="M27" s="15"/>
      <c r="N27" s="15"/>
      <c r="O27" s="1"/>
      <c r="P27" s="1"/>
      <c r="Q27" s="1"/>
      <c r="R27" s="1"/>
      <c r="S27" s="1"/>
      <c r="T27" s="1"/>
      <c r="U27" s="1"/>
      <c r="V27" s="1"/>
      <c r="W27" s="1"/>
      <c r="X27" s="1"/>
      <c r="Y27" s="1"/>
      <c r="Z27" s="1"/>
    </row>
    <row r="28" spans="1:26">
      <c r="A28" s="4" t="s">
        <v>18</v>
      </c>
      <c r="B28" s="15" t="s">
        <v>19</v>
      </c>
      <c r="C28" s="15"/>
      <c r="D28" s="15"/>
      <c r="E28" s="15"/>
      <c r="F28" s="15"/>
      <c r="G28" s="15"/>
      <c r="H28" s="15"/>
      <c r="I28" s="15"/>
      <c r="J28" s="15"/>
      <c r="K28" s="15"/>
      <c r="L28" s="15"/>
      <c r="M28" s="15"/>
      <c r="N28" s="15"/>
      <c r="O28" s="1"/>
      <c r="P28" s="1"/>
      <c r="Q28" s="1"/>
      <c r="R28" s="1"/>
      <c r="S28" s="1"/>
      <c r="T28" s="1"/>
      <c r="U28" s="1"/>
      <c r="V28" s="1"/>
      <c r="W28" s="1"/>
      <c r="X28" s="1"/>
      <c r="Y28" s="1"/>
      <c r="Z28" s="1"/>
    </row>
    <row r="29" spans="1:26">
      <c r="A29" s="4" t="s">
        <v>20</v>
      </c>
      <c r="B29" s="15" t="s">
        <v>21</v>
      </c>
      <c r="C29" s="15"/>
      <c r="D29" s="15"/>
      <c r="E29" s="15"/>
      <c r="F29" s="15"/>
      <c r="G29" s="15"/>
      <c r="H29" s="15"/>
      <c r="I29" s="15"/>
      <c r="J29" s="15"/>
      <c r="K29" s="15"/>
      <c r="L29" s="15"/>
      <c r="M29" s="15"/>
      <c r="N29" s="15"/>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sheetData>
  <mergeCells count="11">
    <mergeCell ref="A25:N25"/>
    <mergeCell ref="B26:N26"/>
    <mergeCell ref="B27:N27"/>
    <mergeCell ref="B28:N28"/>
    <mergeCell ref="B29:N29"/>
    <mergeCell ref="A1:N1"/>
    <mergeCell ref="A4:C6"/>
    <mergeCell ref="D4:F6"/>
    <mergeCell ref="G4:I6"/>
    <mergeCell ref="J4:L6"/>
    <mergeCell ref="M4:N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
  <sheetViews>
    <sheetView topLeftCell="A15" zoomScaleNormal="100" zoomScaleSheetLayoutView="100" workbookViewId="0">
      <selection activeCell="A3" sqref="A3"/>
    </sheetView>
  </sheetViews>
  <sheetFormatPr defaultRowHeight="15"/>
  <cols>
    <col min="1" max="1" width="7.625" customWidth="1"/>
    <col min="2" max="2" width="23.25" customWidth="1"/>
    <col min="3" max="3" width="22.5" customWidth="1"/>
    <col min="4" max="4" width="30.125" customWidth="1"/>
    <col min="5" max="5" width="27.75" customWidth="1"/>
    <col min="6" max="6" width="15" customWidth="1"/>
    <col min="7" max="7" width="15.75" customWidth="1"/>
    <col min="8" max="8" width="16" customWidth="1"/>
    <col min="9" max="9" width="14" customWidth="1"/>
    <col min="10" max="10" width="15.75" customWidth="1"/>
  </cols>
  <sheetData>
    <row r="1" spans="1:26" ht="27.95" customHeight="1">
      <c r="A1" s="11" t="s">
        <v>22</v>
      </c>
      <c r="B1" s="12"/>
      <c r="C1" s="12"/>
      <c r="D1" s="12"/>
      <c r="E1" s="12"/>
      <c r="F1" s="12"/>
      <c r="G1" s="12"/>
      <c r="H1" s="12"/>
      <c r="I1" s="12"/>
      <c r="J1" s="12"/>
      <c r="K1" s="12"/>
      <c r="L1" s="12"/>
      <c r="M1" s="1"/>
      <c r="N1" s="1"/>
      <c r="O1" s="1"/>
      <c r="P1" s="1"/>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c r="A3" s="5" t="s">
        <v>23</v>
      </c>
      <c r="B3" s="5" t="s">
        <v>24</v>
      </c>
      <c r="C3" s="5" t="s">
        <v>25</v>
      </c>
      <c r="D3" s="5" t="s">
        <v>26</v>
      </c>
      <c r="E3" s="5" t="s">
        <v>27</v>
      </c>
      <c r="F3" s="5" t="s">
        <v>28</v>
      </c>
      <c r="G3" s="5" t="s">
        <v>29</v>
      </c>
      <c r="H3" s="5" t="s">
        <v>30</v>
      </c>
      <c r="I3" s="5" t="s">
        <v>31</v>
      </c>
      <c r="J3" s="5" t="s">
        <v>32</v>
      </c>
      <c r="K3" s="1"/>
      <c r="L3" s="1"/>
      <c r="M3" s="1"/>
      <c r="N3" s="1"/>
      <c r="O3" s="1"/>
      <c r="P3" s="1"/>
      <c r="Q3" s="1"/>
      <c r="R3" s="1"/>
      <c r="S3" s="1"/>
      <c r="T3" s="1"/>
      <c r="U3" s="1"/>
      <c r="V3" s="1"/>
      <c r="W3" s="1"/>
      <c r="X3" s="1"/>
      <c r="Y3" s="1"/>
      <c r="Z3" s="1"/>
    </row>
    <row r="4" spans="1:26">
      <c r="A4" s="6">
        <v>2021</v>
      </c>
      <c r="B4" s="7">
        <v>2.7639999999999998</v>
      </c>
      <c r="C4" s="7">
        <v>65.953999999999994</v>
      </c>
      <c r="D4" s="7">
        <v>9.2140000000000004</v>
      </c>
      <c r="E4" s="7">
        <v>77.932000000000002</v>
      </c>
      <c r="F4" s="8">
        <v>0.84630190419999995</v>
      </c>
      <c r="G4" s="8">
        <v>3.54668172E-2</v>
      </c>
      <c r="H4" s="8">
        <v>0.1182312786</v>
      </c>
      <c r="I4" s="8"/>
      <c r="J4" s="8"/>
      <c r="K4" s="1"/>
      <c r="L4" s="1"/>
      <c r="M4" s="1"/>
      <c r="N4" s="1"/>
      <c r="O4" s="1"/>
      <c r="P4" s="1"/>
      <c r="Q4" s="1"/>
      <c r="R4" s="1"/>
      <c r="S4" s="1"/>
      <c r="T4" s="1"/>
      <c r="U4" s="1"/>
      <c r="V4" s="1"/>
      <c r="W4" s="1"/>
      <c r="X4" s="1"/>
      <c r="Y4" s="1"/>
      <c r="Z4" s="1"/>
    </row>
    <row r="5" spans="1:26">
      <c r="A5" s="6">
        <v>2022</v>
      </c>
      <c r="B5" s="7">
        <v>2.3010000000000002</v>
      </c>
      <c r="C5" s="7">
        <v>82.304000000000002</v>
      </c>
      <c r="D5" s="7">
        <v>9.7859999999999996</v>
      </c>
      <c r="E5" s="7">
        <v>94.39</v>
      </c>
      <c r="F5" s="8">
        <v>0.87195677510000003</v>
      </c>
      <c r="G5" s="8">
        <v>2.43775824E-2</v>
      </c>
      <c r="H5" s="8">
        <v>0.1036762369</v>
      </c>
      <c r="I5" s="8">
        <v>0.2111841092</v>
      </c>
      <c r="J5" s="8">
        <v>0.2479000516</v>
      </c>
      <c r="K5" s="1"/>
      <c r="L5" s="1"/>
      <c r="M5" s="1"/>
      <c r="N5" s="1"/>
      <c r="O5" s="1"/>
      <c r="P5" s="1"/>
      <c r="Q5" s="1"/>
      <c r="R5" s="1"/>
      <c r="S5" s="1"/>
      <c r="T5" s="1"/>
      <c r="U5" s="1"/>
      <c r="V5" s="1"/>
      <c r="W5" s="1"/>
      <c r="X5" s="1"/>
      <c r="Y5" s="1"/>
      <c r="Z5" s="1"/>
    </row>
    <row r="6" spans="1:26">
      <c r="A6" s="6">
        <v>2023</v>
      </c>
      <c r="B6" s="7">
        <v>1.802</v>
      </c>
      <c r="C6" s="7">
        <v>98.543000000000006</v>
      </c>
      <c r="D6" s="7">
        <v>10.243</v>
      </c>
      <c r="E6" s="7">
        <v>110.58799999999999</v>
      </c>
      <c r="F6" s="8">
        <v>0.89108221509999996</v>
      </c>
      <c r="G6" s="8">
        <v>1.6294715500000001E-2</v>
      </c>
      <c r="H6" s="8">
        <v>9.2623069399999994E-2</v>
      </c>
      <c r="I6" s="8">
        <v>0.17160716179999999</v>
      </c>
      <c r="J6" s="8">
        <v>0.19730511279999999</v>
      </c>
      <c r="K6" s="1"/>
      <c r="L6" s="1"/>
      <c r="M6" s="1"/>
      <c r="N6" s="1"/>
      <c r="O6" s="1"/>
      <c r="P6" s="1"/>
      <c r="Q6" s="1"/>
      <c r="R6" s="1"/>
      <c r="S6" s="1"/>
      <c r="T6" s="1"/>
      <c r="U6" s="1"/>
      <c r="V6" s="1"/>
      <c r="W6" s="1"/>
      <c r="X6" s="1"/>
      <c r="Y6" s="1"/>
      <c r="Z6" s="1"/>
    </row>
    <row r="7" spans="1:26">
      <c r="A7" s="6">
        <v>2024</v>
      </c>
      <c r="B7" s="7">
        <v>1.3680000000000001</v>
      </c>
      <c r="C7" s="7">
        <v>109.64400000000001</v>
      </c>
      <c r="D7" s="7">
        <v>8.1110000000000007</v>
      </c>
      <c r="E7" s="7">
        <v>119.123</v>
      </c>
      <c r="F7" s="8">
        <v>0.92042678580000004</v>
      </c>
      <c r="G7" s="8">
        <v>1.1483928399999999E-2</v>
      </c>
      <c r="H7" s="8">
        <v>6.8089285900000004E-2</v>
      </c>
      <c r="I7" s="8">
        <v>7.7178355700000006E-2</v>
      </c>
      <c r="J7" s="8">
        <v>0.1126513299</v>
      </c>
      <c r="K7" s="1"/>
      <c r="L7" s="1"/>
      <c r="M7" s="1"/>
      <c r="N7" s="1"/>
      <c r="O7" s="1"/>
      <c r="P7" s="1"/>
      <c r="Q7" s="1"/>
      <c r="R7" s="1"/>
      <c r="S7" s="1"/>
      <c r="T7" s="1"/>
      <c r="U7" s="1"/>
      <c r="V7" s="1"/>
      <c r="W7" s="1"/>
      <c r="X7" s="1"/>
      <c r="Y7" s="1"/>
      <c r="Z7" s="1"/>
    </row>
    <row r="8" spans="1:26">
      <c r="A8" s="6">
        <v>2025</v>
      </c>
      <c r="B8" s="7">
        <v>1.079</v>
      </c>
      <c r="C8" s="7">
        <v>119.78</v>
      </c>
      <c r="D8" s="7">
        <v>6.8179999999999996</v>
      </c>
      <c r="E8" s="7">
        <v>127.67700000000001</v>
      </c>
      <c r="F8" s="8">
        <v>0.9381486094</v>
      </c>
      <c r="G8" s="8">
        <v>8.4510130999999999E-3</v>
      </c>
      <c r="H8" s="8">
        <v>5.3400377499999999E-2</v>
      </c>
      <c r="I8" s="8">
        <v>7.1808131100000006E-2</v>
      </c>
      <c r="J8" s="8">
        <v>9.2444638999999995E-2</v>
      </c>
      <c r="K8" s="1"/>
      <c r="L8" s="1"/>
      <c r="M8" s="1"/>
      <c r="N8" s="1"/>
      <c r="O8" s="1"/>
      <c r="P8" s="1"/>
      <c r="Q8" s="1"/>
      <c r="R8" s="1"/>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4" t="s">
        <v>33</v>
      </c>
      <c r="B29" s="12"/>
      <c r="C29" s="12"/>
      <c r="D29" s="12"/>
      <c r="E29" s="12"/>
      <c r="F29" s="12"/>
      <c r="G29" s="12"/>
      <c r="H29" s="12"/>
      <c r="I29" s="12"/>
      <c r="J29" s="12"/>
      <c r="K29" s="12"/>
      <c r="L29" s="12"/>
      <c r="M29" s="1"/>
      <c r="N29" s="1"/>
      <c r="O29" s="1"/>
      <c r="P29" s="1"/>
      <c r="Q29" s="1"/>
      <c r="R29" s="1"/>
      <c r="S29" s="1"/>
      <c r="T29" s="1"/>
      <c r="U29" s="1"/>
      <c r="V29" s="1"/>
      <c r="W29" s="1"/>
      <c r="X29" s="1"/>
      <c r="Y29" s="1"/>
      <c r="Z29" s="1"/>
    </row>
    <row r="30" spans="1:26">
      <c r="A30" s="16" t="s">
        <v>34</v>
      </c>
      <c r="B30" s="12"/>
      <c r="C30" s="12"/>
      <c r="D30" s="12"/>
      <c r="E30" s="12"/>
      <c r="F30" s="12"/>
      <c r="G30" s="12"/>
      <c r="H30" s="12"/>
      <c r="I30" s="12"/>
      <c r="J30" s="12"/>
      <c r="K30" s="12"/>
      <c r="L30" s="12"/>
      <c r="M30" s="1"/>
      <c r="N30" s="1"/>
      <c r="O30" s="1"/>
      <c r="P30" s="1"/>
      <c r="Q30" s="1"/>
      <c r="R30" s="1"/>
      <c r="S30" s="1"/>
      <c r="T30" s="1"/>
      <c r="U30" s="1"/>
      <c r="V30" s="1"/>
      <c r="W30" s="1"/>
      <c r="X30" s="1"/>
      <c r="Y30" s="1"/>
      <c r="Z30" s="1"/>
    </row>
    <row r="31" spans="1:26">
      <c r="A31" s="12"/>
      <c r="B31" s="12"/>
      <c r="C31" s="12"/>
      <c r="D31" s="12"/>
      <c r="E31" s="12"/>
      <c r="F31" s="12"/>
      <c r="G31" s="12"/>
      <c r="H31" s="12"/>
      <c r="I31" s="12"/>
      <c r="J31" s="12"/>
      <c r="K31" s="12"/>
      <c r="L31" s="12"/>
      <c r="M31" s="1"/>
      <c r="N31" s="1"/>
      <c r="O31" s="1"/>
      <c r="P31" s="1"/>
      <c r="Q31" s="1"/>
      <c r="R31" s="1"/>
      <c r="S31" s="1"/>
      <c r="T31" s="1"/>
      <c r="U31" s="1"/>
      <c r="V31" s="1"/>
      <c r="W31" s="1"/>
      <c r="X31" s="1"/>
      <c r="Y31" s="1"/>
      <c r="Z31" s="1"/>
    </row>
    <row r="32" spans="1:26">
      <c r="A32" s="12"/>
      <c r="B32" s="12"/>
      <c r="C32" s="12"/>
      <c r="D32" s="12"/>
      <c r="E32" s="12"/>
      <c r="F32" s="12"/>
      <c r="G32" s="12"/>
      <c r="H32" s="12"/>
      <c r="I32" s="12"/>
      <c r="J32" s="12"/>
      <c r="K32" s="12"/>
      <c r="L32" s="12"/>
      <c r="M32" s="1"/>
      <c r="N32" s="1"/>
      <c r="O32" s="1"/>
      <c r="P32" s="1"/>
      <c r="Q32" s="1"/>
      <c r="R32" s="1"/>
      <c r="S32" s="1"/>
      <c r="T32" s="1"/>
      <c r="U32" s="1"/>
      <c r="V32" s="1"/>
      <c r="W32" s="1"/>
      <c r="X32" s="1"/>
      <c r="Y32" s="1"/>
      <c r="Z32" s="1"/>
    </row>
    <row r="33" spans="1:26">
      <c r="A33" s="12"/>
      <c r="B33" s="12"/>
      <c r="C33" s="12"/>
      <c r="D33" s="12"/>
      <c r="E33" s="12"/>
      <c r="F33" s="12"/>
      <c r="G33" s="12"/>
      <c r="H33" s="12"/>
      <c r="I33" s="12"/>
      <c r="J33" s="12"/>
      <c r="K33" s="12"/>
      <c r="L33" s="12"/>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sheetData>
  <mergeCells count="3">
    <mergeCell ref="A1:L1"/>
    <mergeCell ref="A29:L29"/>
    <mergeCell ref="A30:L3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
  <sheetViews>
    <sheetView topLeftCell="A15" zoomScaleNormal="100" zoomScaleSheetLayoutView="100" workbookViewId="0">
      <selection activeCell="A27" sqref="A27:L29"/>
    </sheetView>
  </sheetViews>
  <sheetFormatPr defaultRowHeight="15"/>
  <cols>
    <col min="1" max="1" width="10.625" customWidth="1"/>
    <col min="2" max="2" width="15.5" customWidth="1"/>
    <col min="3" max="3" width="17.75" customWidth="1"/>
    <col min="4" max="4" width="15.25" customWidth="1"/>
    <col min="5" max="5" width="7.375" customWidth="1"/>
    <col min="6" max="6" width="8.75" customWidth="1"/>
    <col min="7" max="7" width="8.625" customWidth="1"/>
    <col min="8" max="8" width="21.625" customWidth="1"/>
    <col min="9" max="9" width="24.125" customWidth="1"/>
    <col min="10" max="10" width="10.25" customWidth="1"/>
  </cols>
  <sheetData>
    <row r="1" spans="1:26" ht="27.95" customHeight="1">
      <c r="A1" s="11" t="s">
        <v>35</v>
      </c>
      <c r="B1" s="12"/>
      <c r="C1" s="12"/>
      <c r="D1" s="12"/>
      <c r="E1" s="12"/>
      <c r="F1" s="12"/>
      <c r="G1" s="12"/>
      <c r="H1" s="12"/>
      <c r="I1" s="12"/>
      <c r="J1" s="12"/>
      <c r="K1" s="12"/>
      <c r="L1" s="12"/>
      <c r="M1" s="1"/>
      <c r="N1" s="1"/>
      <c r="O1" s="1"/>
      <c r="P1" s="1"/>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c r="A3" s="5" t="s">
        <v>2</v>
      </c>
      <c r="B3" s="5" t="s">
        <v>36</v>
      </c>
      <c r="C3" s="5" t="s">
        <v>4</v>
      </c>
      <c r="D3" s="5" t="s">
        <v>37</v>
      </c>
      <c r="E3" s="5" t="s">
        <v>38</v>
      </c>
      <c r="F3" s="5" t="s">
        <v>39</v>
      </c>
      <c r="G3" s="5" t="s">
        <v>40</v>
      </c>
      <c r="H3" s="5" t="s">
        <v>41</v>
      </c>
      <c r="I3" s="5" t="s">
        <v>42</v>
      </c>
      <c r="J3" s="5" t="s">
        <v>43</v>
      </c>
      <c r="K3" s="1"/>
      <c r="L3" s="1"/>
      <c r="M3" s="1"/>
      <c r="N3" s="1"/>
      <c r="O3" s="1"/>
      <c r="P3" s="1"/>
      <c r="Q3" s="1"/>
      <c r="R3" s="1"/>
      <c r="S3" s="1"/>
      <c r="T3" s="1"/>
      <c r="U3" s="1"/>
      <c r="V3" s="1"/>
      <c r="W3" s="1"/>
      <c r="X3" s="1"/>
      <c r="Y3" s="1"/>
      <c r="Z3" s="1"/>
    </row>
    <row r="4" spans="1:26">
      <c r="A4" s="1" t="s">
        <v>6</v>
      </c>
      <c r="B4" s="7">
        <v>30.141660000000002</v>
      </c>
      <c r="C4" s="7">
        <v>18.040749000000002</v>
      </c>
      <c r="D4" s="8">
        <v>0.59853203174609493</v>
      </c>
      <c r="E4" s="9">
        <v>795</v>
      </c>
      <c r="F4" s="9">
        <v>23311</v>
      </c>
      <c r="G4" s="9">
        <v>6558</v>
      </c>
      <c r="H4" s="9">
        <v>22692.766037735848</v>
      </c>
      <c r="I4" s="9">
        <v>773.91570503195919</v>
      </c>
      <c r="J4" s="1" t="s">
        <v>44</v>
      </c>
      <c r="K4" s="1"/>
      <c r="L4" s="1"/>
      <c r="M4" s="1"/>
      <c r="N4" s="1"/>
      <c r="O4" s="1"/>
      <c r="P4" s="1"/>
      <c r="Q4" s="1"/>
      <c r="R4" s="1"/>
      <c r="S4" s="1"/>
      <c r="T4" s="1"/>
      <c r="U4" s="1"/>
      <c r="V4" s="1"/>
      <c r="W4" s="1"/>
      <c r="X4" s="1"/>
      <c r="Y4" s="1"/>
      <c r="Z4" s="1"/>
    </row>
    <row r="5" spans="1:26">
      <c r="A5" s="1" t="s">
        <v>12</v>
      </c>
      <c r="B5" s="7">
        <v>25.5</v>
      </c>
      <c r="C5" s="7">
        <v>16.2</v>
      </c>
      <c r="D5" s="8">
        <v>0.63529411764705879</v>
      </c>
      <c r="E5" s="9">
        <v>997</v>
      </c>
      <c r="F5" s="9">
        <v>20630</v>
      </c>
      <c r="G5" s="9">
        <v>6855</v>
      </c>
      <c r="H5" s="9">
        <v>16248.746238716149</v>
      </c>
      <c r="I5" s="9">
        <v>785.2641783809986</v>
      </c>
      <c r="J5" s="1" t="s">
        <v>45</v>
      </c>
      <c r="K5" s="1"/>
      <c r="L5" s="1"/>
      <c r="M5" s="1"/>
      <c r="N5" s="1"/>
      <c r="O5" s="1"/>
      <c r="P5" s="1"/>
      <c r="Q5" s="1"/>
      <c r="R5" s="1"/>
      <c r="S5" s="1"/>
      <c r="T5" s="1"/>
      <c r="U5" s="1"/>
      <c r="V5" s="1"/>
      <c r="W5" s="1"/>
      <c r="X5" s="1"/>
      <c r="Y5" s="1"/>
      <c r="Z5" s="1"/>
    </row>
    <row r="6" spans="1:26">
      <c r="A6" s="1" t="s">
        <v>5</v>
      </c>
      <c r="B6" s="7">
        <v>15.2</v>
      </c>
      <c r="C6" s="7">
        <v>13.2</v>
      </c>
      <c r="D6" s="8">
        <v>0.86842105263157898</v>
      </c>
      <c r="E6" s="9">
        <v>647</v>
      </c>
      <c r="F6" s="9">
        <v>12591</v>
      </c>
      <c r="G6" s="9">
        <v>6351</v>
      </c>
      <c r="H6" s="9">
        <v>20401.854714064913</v>
      </c>
      <c r="I6" s="9">
        <v>1048.367881820348</v>
      </c>
      <c r="J6" s="1" t="s">
        <v>46</v>
      </c>
      <c r="K6" s="1"/>
      <c r="L6" s="1"/>
      <c r="M6" s="1"/>
      <c r="N6" s="1"/>
      <c r="O6" s="1"/>
      <c r="P6" s="1"/>
      <c r="Q6" s="1"/>
      <c r="R6" s="1"/>
      <c r="S6" s="1"/>
      <c r="T6" s="1"/>
      <c r="U6" s="1"/>
      <c r="V6" s="1"/>
      <c r="W6" s="1"/>
      <c r="X6" s="1"/>
      <c r="Y6" s="1"/>
      <c r="Z6" s="1"/>
    </row>
    <row r="7" spans="1:26">
      <c r="A7" s="1"/>
      <c r="B7" s="1"/>
      <c r="C7" s="1"/>
      <c r="D7" s="1"/>
      <c r="E7" s="1"/>
      <c r="F7" s="1"/>
      <c r="G7" s="1"/>
      <c r="H7" s="1"/>
      <c r="I7" s="1"/>
      <c r="J7" s="1"/>
      <c r="K7" s="1"/>
      <c r="L7" s="1"/>
      <c r="M7" s="1"/>
      <c r="N7" s="1"/>
      <c r="O7" s="1"/>
      <c r="P7" s="1"/>
      <c r="Q7" s="1"/>
      <c r="R7" s="1"/>
      <c r="S7" s="1"/>
      <c r="T7" s="1"/>
      <c r="U7" s="1"/>
      <c r="V7" s="1"/>
      <c r="W7" s="1"/>
      <c r="X7" s="1"/>
      <c r="Y7" s="1"/>
      <c r="Z7" s="1"/>
    </row>
    <row r="8" spans="1:26">
      <c r="A8" s="1"/>
      <c r="B8" s="1"/>
      <c r="C8" s="1"/>
      <c r="D8" s="1"/>
      <c r="E8" s="1"/>
      <c r="F8" s="1"/>
      <c r="G8" s="1"/>
      <c r="H8" s="1"/>
      <c r="I8" s="1"/>
      <c r="J8" s="1"/>
      <c r="K8" s="1"/>
      <c r="L8" s="1"/>
      <c r="M8" s="1"/>
      <c r="N8" s="1"/>
      <c r="O8" s="1"/>
      <c r="P8" s="1"/>
      <c r="Q8" s="1"/>
      <c r="R8" s="1"/>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4" t="s">
        <v>47</v>
      </c>
      <c r="B26" s="12"/>
      <c r="C26" s="12"/>
      <c r="D26" s="12"/>
      <c r="E26" s="12"/>
      <c r="F26" s="12"/>
      <c r="G26" s="12"/>
      <c r="H26" s="12"/>
      <c r="I26" s="12"/>
      <c r="J26" s="12"/>
      <c r="K26" s="12"/>
      <c r="L26" s="12"/>
      <c r="M26" s="1"/>
      <c r="N26" s="1"/>
      <c r="O26" s="1"/>
      <c r="P26" s="1"/>
      <c r="Q26" s="1"/>
      <c r="R26" s="1"/>
      <c r="S26" s="1"/>
      <c r="T26" s="1"/>
      <c r="U26" s="1"/>
      <c r="V26" s="1"/>
      <c r="W26" s="1"/>
      <c r="X26" s="1"/>
      <c r="Y26" s="1"/>
      <c r="Z26" s="1"/>
    </row>
    <row r="27" spans="1:26">
      <c r="A27" s="16" t="s">
        <v>48</v>
      </c>
      <c r="B27" s="12"/>
      <c r="C27" s="12"/>
      <c r="D27" s="12"/>
      <c r="E27" s="12"/>
      <c r="F27" s="12"/>
      <c r="G27" s="12"/>
      <c r="H27" s="12"/>
      <c r="I27" s="12"/>
      <c r="J27" s="12"/>
      <c r="K27" s="12"/>
      <c r="L27" s="12"/>
      <c r="M27" s="1"/>
      <c r="N27" s="1"/>
      <c r="O27" s="1"/>
      <c r="P27" s="1"/>
      <c r="Q27" s="1"/>
      <c r="R27" s="1"/>
      <c r="S27" s="1"/>
      <c r="T27" s="1"/>
      <c r="U27" s="1"/>
      <c r="V27" s="1"/>
      <c r="W27" s="1"/>
      <c r="X27" s="1"/>
      <c r="Y27" s="1"/>
      <c r="Z27" s="1"/>
    </row>
    <row r="28" spans="1:26">
      <c r="A28" s="12"/>
      <c r="B28" s="12"/>
      <c r="C28" s="12"/>
      <c r="D28" s="12"/>
      <c r="E28" s="12"/>
      <c r="F28" s="12"/>
      <c r="G28" s="12"/>
      <c r="H28" s="12"/>
      <c r="I28" s="12"/>
      <c r="J28" s="12"/>
      <c r="K28" s="12"/>
      <c r="L28" s="12"/>
      <c r="M28" s="1"/>
      <c r="N28" s="1"/>
      <c r="O28" s="1"/>
      <c r="P28" s="1"/>
      <c r="Q28" s="1"/>
      <c r="R28" s="1"/>
      <c r="S28" s="1"/>
      <c r="T28" s="1"/>
      <c r="U28" s="1"/>
      <c r="V28" s="1"/>
      <c r="W28" s="1"/>
      <c r="X28" s="1"/>
      <c r="Y28" s="1"/>
      <c r="Z28" s="1"/>
    </row>
    <row r="29" spans="1:26">
      <c r="A29" s="12"/>
      <c r="B29" s="12"/>
      <c r="C29" s="12"/>
      <c r="D29" s="12"/>
      <c r="E29" s="12"/>
      <c r="F29" s="12"/>
      <c r="G29" s="12"/>
      <c r="H29" s="12"/>
      <c r="I29" s="12"/>
      <c r="J29" s="12"/>
      <c r="K29" s="12"/>
      <c r="L29" s="12"/>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sheetData>
  <mergeCells count="3">
    <mergeCell ref="A1:L1"/>
    <mergeCell ref="A26:L26"/>
    <mergeCell ref="A27:L2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
  <sheetViews>
    <sheetView zoomScaleNormal="100" zoomScaleSheetLayoutView="100" workbookViewId="0">
      <selection activeCell="L1" sqref="L1:L1048576"/>
    </sheetView>
  </sheetViews>
  <sheetFormatPr defaultRowHeight="15"/>
  <cols>
    <col min="1" max="1" width="10.625" customWidth="1"/>
    <col min="2" max="2" width="7.75" customWidth="1"/>
    <col min="3" max="3" width="14.25" customWidth="1"/>
    <col min="4" max="4" width="7.375" customWidth="1"/>
    <col min="5" max="5" width="8.75" customWidth="1"/>
    <col min="6" max="6" width="21.625" customWidth="1"/>
    <col min="7" max="7" width="24.125" customWidth="1"/>
    <col min="8" max="8" width="15.25" customWidth="1"/>
    <col min="9" max="9" width="15.5" customWidth="1"/>
    <col min="12" max="12" width="12" customWidth="1"/>
  </cols>
  <sheetData>
    <row r="1" spans="1:26" ht="27.95" customHeight="1">
      <c r="A1" s="11" t="s">
        <v>49</v>
      </c>
      <c r="B1" s="12"/>
      <c r="C1" s="12"/>
      <c r="D1" s="12"/>
      <c r="E1" s="12"/>
      <c r="F1" s="12"/>
      <c r="G1" s="12"/>
      <c r="H1" s="12"/>
      <c r="I1" s="12"/>
      <c r="J1" s="12"/>
      <c r="K1" s="12"/>
      <c r="L1" s="12"/>
      <c r="M1" s="1"/>
      <c r="N1" s="1"/>
      <c r="O1" s="1"/>
      <c r="P1" s="1"/>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c r="A3" s="5" t="s">
        <v>2</v>
      </c>
      <c r="B3" s="5" t="s">
        <v>23</v>
      </c>
      <c r="C3" s="5" t="s">
        <v>50</v>
      </c>
      <c r="D3" s="5" t="s">
        <v>38</v>
      </c>
      <c r="E3" s="5" t="s">
        <v>39</v>
      </c>
      <c r="F3" s="5" t="s">
        <v>41</v>
      </c>
      <c r="G3" s="5" t="s">
        <v>42</v>
      </c>
      <c r="H3" s="5" t="s">
        <v>51</v>
      </c>
      <c r="I3" s="5" t="s">
        <v>52</v>
      </c>
      <c r="J3" s="1"/>
      <c r="K3" s="5" t="s">
        <v>23</v>
      </c>
      <c r="L3" s="5" t="s">
        <v>6</v>
      </c>
      <c r="M3" s="5" t="s">
        <v>5</v>
      </c>
      <c r="N3" s="5" t="s">
        <v>12</v>
      </c>
      <c r="O3" s="1"/>
      <c r="P3" s="1"/>
      <c r="Q3" s="1"/>
      <c r="R3" s="1"/>
      <c r="S3" s="1"/>
      <c r="T3" s="1"/>
      <c r="U3" s="1"/>
      <c r="V3" s="1"/>
      <c r="W3" s="1"/>
      <c r="X3" s="1"/>
      <c r="Y3" s="1"/>
      <c r="Z3" s="1"/>
    </row>
    <row r="4" spans="1:26">
      <c r="A4" s="1" t="s">
        <v>6</v>
      </c>
      <c r="B4" s="1">
        <v>2021</v>
      </c>
      <c r="C4" s="9">
        <v>11040150</v>
      </c>
      <c r="D4" s="9">
        <v>872</v>
      </c>
      <c r="E4" s="9">
        <v>20962</v>
      </c>
      <c r="F4" s="9">
        <v>12660.722477064221</v>
      </c>
      <c r="G4" s="9">
        <v>526.67445854403206</v>
      </c>
      <c r="H4" s="8"/>
      <c r="I4" s="8"/>
      <c r="J4" s="1"/>
      <c r="K4" s="1">
        <v>2021</v>
      </c>
      <c r="L4" s="9">
        <v>12660.722477064221</v>
      </c>
      <c r="M4" s="9">
        <v>9282.7004219409282</v>
      </c>
      <c r="N4" s="9">
        <v>8688.2453151618392</v>
      </c>
      <c r="O4" s="1"/>
      <c r="P4" s="1"/>
      <c r="Q4" s="1"/>
      <c r="R4" s="1"/>
      <c r="S4" s="1"/>
      <c r="T4" s="1"/>
      <c r="U4" s="1"/>
      <c r="V4" s="1"/>
      <c r="W4" s="1"/>
      <c r="X4" s="1"/>
      <c r="Y4" s="1"/>
      <c r="Z4" s="1"/>
    </row>
    <row r="5" spans="1:26">
      <c r="A5" s="1" t="s">
        <v>6</v>
      </c>
      <c r="B5" s="1">
        <v>2022</v>
      </c>
      <c r="C5" s="9">
        <v>13386156</v>
      </c>
      <c r="D5" s="9">
        <v>838</v>
      </c>
      <c r="E5" s="9">
        <v>21684</v>
      </c>
      <c r="F5" s="9">
        <v>15973.933174224343</v>
      </c>
      <c r="G5" s="9">
        <v>617.32872163807417</v>
      </c>
      <c r="H5" s="8">
        <v>0.21249765628184392</v>
      </c>
      <c r="I5" s="8">
        <v>-3.8990825688073438E-2</v>
      </c>
      <c r="J5" s="1"/>
      <c r="K5" s="1">
        <v>2022</v>
      </c>
      <c r="L5" s="9">
        <v>15973.933174224343</v>
      </c>
      <c r="M5" s="9">
        <v>12236.286919831224</v>
      </c>
      <c r="N5" s="9">
        <v>11711.711711711712</v>
      </c>
      <c r="O5" s="1"/>
      <c r="P5" s="1"/>
      <c r="Q5" s="1"/>
      <c r="R5" s="1"/>
      <c r="S5" s="1"/>
      <c r="T5" s="1"/>
      <c r="U5" s="1"/>
      <c r="V5" s="1"/>
      <c r="W5" s="1"/>
      <c r="X5" s="1"/>
      <c r="Y5" s="1"/>
      <c r="Z5" s="1"/>
    </row>
    <row r="6" spans="1:26">
      <c r="A6" s="1" t="s">
        <v>6</v>
      </c>
      <c r="B6" s="1">
        <v>2023</v>
      </c>
      <c r="C6" s="9">
        <v>15046929</v>
      </c>
      <c r="D6" s="9">
        <v>805</v>
      </c>
      <c r="E6" s="9">
        <v>22016</v>
      </c>
      <c r="F6" s="9">
        <v>18691.837267080744</v>
      </c>
      <c r="G6" s="9">
        <v>683.45426053779067</v>
      </c>
      <c r="H6" s="8">
        <v>0.12406646090184514</v>
      </c>
      <c r="I6" s="8">
        <v>-3.9379474940334114E-2</v>
      </c>
      <c r="J6" s="1"/>
      <c r="K6" s="1">
        <v>2023</v>
      </c>
      <c r="L6" s="9">
        <v>18691.837267080744</v>
      </c>
      <c r="M6" s="9">
        <v>15886.524822695035</v>
      </c>
      <c r="N6" s="9">
        <v>14071.294559099437</v>
      </c>
      <c r="O6" s="1"/>
      <c r="P6" s="1"/>
      <c r="Q6" s="1"/>
      <c r="R6" s="1"/>
      <c r="S6" s="1"/>
      <c r="T6" s="1"/>
      <c r="U6" s="1"/>
      <c r="V6" s="1"/>
      <c r="W6" s="1"/>
      <c r="X6" s="1"/>
      <c r="Y6" s="1"/>
      <c r="Z6" s="1"/>
    </row>
    <row r="7" spans="1:26">
      <c r="A7" s="1" t="s">
        <v>6</v>
      </c>
      <c r="B7" s="1">
        <v>2024</v>
      </c>
      <c r="C7" s="9">
        <v>16718413</v>
      </c>
      <c r="D7" s="9">
        <v>795</v>
      </c>
      <c r="E7" s="9">
        <v>22664</v>
      </c>
      <c r="F7" s="9">
        <v>21029.450314465408</v>
      </c>
      <c r="G7" s="9">
        <v>737.66382809742322</v>
      </c>
      <c r="H7" s="8">
        <v>0.11108472698980631</v>
      </c>
      <c r="I7" s="8">
        <v>-1.2422360248447228E-2</v>
      </c>
      <c r="J7" s="1"/>
      <c r="K7" s="1">
        <v>2024</v>
      </c>
      <c r="L7" s="9">
        <v>21029.450314465408</v>
      </c>
      <c r="M7" s="9">
        <v>18011.527377521616</v>
      </c>
      <c r="N7" s="9">
        <v>16501.97628458498</v>
      </c>
      <c r="O7" s="1"/>
      <c r="P7" s="1"/>
      <c r="Q7" s="1"/>
      <c r="R7" s="1"/>
      <c r="S7" s="1"/>
      <c r="T7" s="1"/>
      <c r="U7" s="1"/>
      <c r="V7" s="1"/>
      <c r="W7" s="1"/>
      <c r="X7" s="1"/>
      <c r="Y7" s="1"/>
      <c r="Z7" s="1"/>
    </row>
    <row r="8" spans="1:26">
      <c r="A8" s="1" t="s">
        <v>6</v>
      </c>
      <c r="B8" s="1">
        <v>2025</v>
      </c>
      <c r="C8" s="9">
        <v>18040749</v>
      </c>
      <c r="D8" s="9">
        <v>795</v>
      </c>
      <c r="E8" s="9">
        <v>23311</v>
      </c>
      <c r="F8" s="9">
        <v>22692.766037735848</v>
      </c>
      <c r="G8" s="9">
        <v>773.91570503195919</v>
      </c>
      <c r="H8" s="8">
        <v>7.9094588702887103E-2</v>
      </c>
      <c r="I8" s="8">
        <v>0</v>
      </c>
      <c r="J8" s="1"/>
      <c r="K8" s="1">
        <v>2025</v>
      </c>
      <c r="L8" s="9">
        <v>22692.766037735848</v>
      </c>
      <c r="M8" s="9">
        <v>20401.854714064913</v>
      </c>
      <c r="N8" s="9">
        <v>16248.746238716149</v>
      </c>
      <c r="O8" s="1"/>
      <c r="P8" s="1"/>
      <c r="Q8" s="1"/>
      <c r="R8" s="1"/>
      <c r="S8" s="1"/>
      <c r="T8" s="1"/>
      <c r="U8" s="1"/>
      <c r="V8" s="1"/>
      <c r="W8" s="1"/>
      <c r="X8" s="1"/>
      <c r="Y8" s="1"/>
      <c r="Z8" s="1"/>
    </row>
    <row r="9" spans="1:26">
      <c r="A9" s="1" t="s">
        <v>5</v>
      </c>
      <c r="B9" s="1">
        <v>2021</v>
      </c>
      <c r="C9" s="9">
        <v>6600000</v>
      </c>
      <c r="D9" s="9">
        <v>711</v>
      </c>
      <c r="E9" s="9">
        <v>12000</v>
      </c>
      <c r="F9" s="9">
        <v>9282.7004219409282</v>
      </c>
      <c r="G9" s="9">
        <v>550</v>
      </c>
      <c r="H9" s="8"/>
      <c r="I9" s="8"/>
      <c r="J9" s="1"/>
      <c r="K9" s="1"/>
      <c r="L9" s="1"/>
      <c r="M9" s="1"/>
      <c r="N9" s="1"/>
      <c r="O9" s="1"/>
      <c r="P9" s="1"/>
      <c r="Q9" s="1"/>
      <c r="R9" s="1"/>
      <c r="S9" s="1"/>
      <c r="T9" s="1"/>
      <c r="U9" s="1"/>
      <c r="V9" s="1"/>
      <c r="W9" s="1"/>
      <c r="X9" s="1"/>
      <c r="Y9" s="1"/>
      <c r="Z9" s="1"/>
    </row>
    <row r="10" spans="1:26">
      <c r="A10" s="1" t="s">
        <v>5</v>
      </c>
      <c r="B10" s="1">
        <v>2022</v>
      </c>
      <c r="C10" s="9">
        <v>8700000</v>
      </c>
      <c r="D10" s="9">
        <v>711</v>
      </c>
      <c r="E10" s="9">
        <v>12000</v>
      </c>
      <c r="F10" s="9">
        <v>12236.286919831224</v>
      </c>
      <c r="G10" s="9">
        <v>725</v>
      </c>
      <c r="H10" s="8">
        <v>0.31818181818181812</v>
      </c>
      <c r="I10" s="8">
        <v>0</v>
      </c>
      <c r="J10" s="1"/>
      <c r="K10" s="1"/>
      <c r="L10" s="1"/>
      <c r="M10" s="1"/>
      <c r="N10" s="1"/>
      <c r="O10" s="1"/>
      <c r="P10" s="1"/>
      <c r="Q10" s="1"/>
      <c r="R10" s="1"/>
      <c r="S10" s="1"/>
      <c r="T10" s="1"/>
      <c r="U10" s="1"/>
      <c r="V10" s="1"/>
      <c r="W10" s="1"/>
      <c r="X10" s="1"/>
      <c r="Y10" s="1"/>
      <c r="Z10" s="1"/>
    </row>
    <row r="11" spans="1:26">
      <c r="A11" s="1" t="s">
        <v>5</v>
      </c>
      <c r="B11" s="1">
        <v>2023</v>
      </c>
      <c r="C11" s="9">
        <v>11200000</v>
      </c>
      <c r="D11" s="9">
        <v>705</v>
      </c>
      <c r="E11" s="9">
        <v>12000</v>
      </c>
      <c r="F11" s="9">
        <v>15886.524822695035</v>
      </c>
      <c r="G11" s="9">
        <v>933.33333333333337</v>
      </c>
      <c r="H11" s="8">
        <v>0.28735632183908044</v>
      </c>
      <c r="I11" s="8">
        <v>-8.4388185654008518E-3</v>
      </c>
      <c r="J11" s="1"/>
      <c r="K11" s="5" t="s">
        <v>23</v>
      </c>
      <c r="L11" s="5" t="s">
        <v>6</v>
      </c>
      <c r="M11" s="5" t="s">
        <v>5</v>
      </c>
      <c r="N11" s="5" t="s">
        <v>12</v>
      </c>
      <c r="O11" s="1"/>
      <c r="P11" s="1"/>
      <c r="Q11" s="1"/>
      <c r="R11" s="1"/>
      <c r="S11" s="1"/>
      <c r="T11" s="1"/>
      <c r="U11" s="1"/>
      <c r="V11" s="1"/>
      <c r="W11" s="1"/>
      <c r="X11" s="1"/>
      <c r="Y11" s="1"/>
      <c r="Z11" s="1"/>
    </row>
    <row r="12" spans="1:26">
      <c r="A12" s="1" t="s">
        <v>5</v>
      </c>
      <c r="B12" s="1">
        <v>2024</v>
      </c>
      <c r="C12" s="9">
        <v>12500000</v>
      </c>
      <c r="D12" s="9">
        <v>694</v>
      </c>
      <c r="E12" s="9">
        <v>12778</v>
      </c>
      <c r="F12" s="9">
        <v>18011.527377521616</v>
      </c>
      <c r="G12" s="9">
        <v>978.24385662858037</v>
      </c>
      <c r="H12" s="8">
        <v>0.1160714285714286</v>
      </c>
      <c r="I12" s="8">
        <v>-1.5602836879432647E-2</v>
      </c>
      <c r="J12" s="1"/>
      <c r="K12" s="1">
        <v>2021</v>
      </c>
      <c r="L12" s="9">
        <v>526.67445854403206</v>
      </c>
      <c r="M12" s="9">
        <v>550</v>
      </c>
      <c r="N12" s="9">
        <v>447.32918165073238</v>
      </c>
      <c r="O12" s="1"/>
      <c r="P12" s="1"/>
      <c r="Q12" s="1"/>
      <c r="R12" s="1"/>
      <c r="S12" s="1"/>
      <c r="T12" s="1"/>
      <c r="U12" s="1"/>
      <c r="V12" s="1"/>
      <c r="W12" s="1"/>
      <c r="X12" s="1"/>
      <c r="Y12" s="1"/>
      <c r="Z12" s="1"/>
    </row>
    <row r="13" spans="1:26">
      <c r="A13" s="1" t="s">
        <v>5</v>
      </c>
      <c r="B13" s="1">
        <v>2025</v>
      </c>
      <c r="C13" s="9">
        <v>13200000</v>
      </c>
      <c r="D13" s="9">
        <v>647</v>
      </c>
      <c r="E13" s="9">
        <v>12591</v>
      </c>
      <c r="F13" s="9">
        <v>20401.854714064913</v>
      </c>
      <c r="G13" s="9">
        <v>1048.367881820348</v>
      </c>
      <c r="H13" s="8">
        <v>5.600000000000005E-2</v>
      </c>
      <c r="I13" s="8">
        <v>-6.7723342939481235E-2</v>
      </c>
      <c r="J13" s="1"/>
      <c r="K13" s="1">
        <v>2022</v>
      </c>
      <c r="L13" s="9">
        <v>617.32872163807417</v>
      </c>
      <c r="M13" s="9">
        <v>725</v>
      </c>
      <c r="N13" s="9">
        <v>557.72448410485219</v>
      </c>
      <c r="O13" s="1"/>
      <c r="P13" s="1"/>
      <c r="Q13" s="1"/>
      <c r="R13" s="1"/>
      <c r="S13" s="1"/>
      <c r="T13" s="1"/>
      <c r="U13" s="1"/>
      <c r="V13" s="1"/>
      <c r="W13" s="1"/>
      <c r="X13" s="1"/>
      <c r="Y13" s="1"/>
      <c r="Z13" s="1"/>
    </row>
    <row r="14" spans="1:26">
      <c r="A14" s="1" t="s">
        <v>12</v>
      </c>
      <c r="B14" s="1">
        <v>2021</v>
      </c>
      <c r="C14" s="9">
        <v>10200000</v>
      </c>
      <c r="D14" s="9">
        <v>1174</v>
      </c>
      <c r="E14" s="9">
        <v>22802</v>
      </c>
      <c r="F14" s="9">
        <v>8688.2453151618392</v>
      </c>
      <c r="G14" s="9">
        <v>447.32918165073238</v>
      </c>
      <c r="H14" s="8"/>
      <c r="I14" s="8"/>
      <c r="J14" s="1"/>
      <c r="K14" s="1">
        <v>2023</v>
      </c>
      <c r="L14" s="9">
        <v>683.45426053779067</v>
      </c>
      <c r="M14" s="9">
        <v>933.33333333333337</v>
      </c>
      <c r="N14" s="9">
        <v>708.65025747626021</v>
      </c>
      <c r="O14" s="1"/>
      <c r="P14" s="1"/>
      <c r="Q14" s="1"/>
      <c r="R14" s="1"/>
      <c r="S14" s="1"/>
      <c r="T14" s="1"/>
      <c r="U14" s="1"/>
      <c r="V14" s="1"/>
      <c r="W14" s="1"/>
      <c r="X14" s="1"/>
      <c r="Y14" s="1"/>
      <c r="Z14" s="1"/>
    </row>
    <row r="15" spans="1:26">
      <c r="A15" s="1" t="s">
        <v>12</v>
      </c>
      <c r="B15" s="1">
        <v>2022</v>
      </c>
      <c r="C15" s="9">
        <v>13000000</v>
      </c>
      <c r="D15" s="9">
        <v>1110</v>
      </c>
      <c r="E15" s="9">
        <v>23309</v>
      </c>
      <c r="F15" s="9">
        <v>11711.711711711712</v>
      </c>
      <c r="G15" s="9">
        <v>557.72448410485219</v>
      </c>
      <c r="H15" s="8">
        <v>0.27450980392156854</v>
      </c>
      <c r="I15" s="8">
        <v>-5.4514480408858645E-2</v>
      </c>
      <c r="J15" s="1"/>
      <c r="K15" s="1">
        <v>2024</v>
      </c>
      <c r="L15" s="9">
        <v>737.66382809742322</v>
      </c>
      <c r="M15" s="9">
        <v>978.24385662858037</v>
      </c>
      <c r="N15" s="9">
        <v>812.25680933852141</v>
      </c>
      <c r="O15" s="1"/>
      <c r="P15" s="1"/>
      <c r="Q15" s="1"/>
      <c r="R15" s="1"/>
      <c r="S15" s="1"/>
      <c r="T15" s="1"/>
      <c r="U15" s="1"/>
      <c r="V15" s="1"/>
      <c r="W15" s="1"/>
      <c r="X15" s="1"/>
      <c r="Y15" s="1"/>
      <c r="Z15" s="1"/>
    </row>
    <row r="16" spans="1:26">
      <c r="A16" s="1" t="s">
        <v>12</v>
      </c>
      <c r="B16" s="1">
        <v>2023</v>
      </c>
      <c r="C16" s="9">
        <v>15000000</v>
      </c>
      <c r="D16" s="9">
        <v>1066</v>
      </c>
      <c r="E16" s="9">
        <v>21167</v>
      </c>
      <c r="F16" s="9">
        <v>14071.294559099437</v>
      </c>
      <c r="G16" s="9">
        <v>708.65025747626021</v>
      </c>
      <c r="H16" s="8">
        <v>0.15384615384615374</v>
      </c>
      <c r="I16" s="8">
        <v>-3.9639639639639679E-2</v>
      </c>
      <c r="J16" s="1"/>
      <c r="K16" s="1">
        <v>2025</v>
      </c>
      <c r="L16" s="9">
        <v>773.91570503195919</v>
      </c>
      <c r="M16" s="9">
        <v>1048.367881820348</v>
      </c>
      <c r="N16" s="9">
        <v>785.2641783809986</v>
      </c>
      <c r="O16" s="1"/>
      <c r="P16" s="1"/>
      <c r="Q16" s="1"/>
      <c r="R16" s="1"/>
      <c r="S16" s="1"/>
      <c r="T16" s="1"/>
      <c r="U16" s="1"/>
      <c r="V16" s="1"/>
      <c r="W16" s="1"/>
      <c r="X16" s="1"/>
      <c r="Y16" s="1"/>
      <c r="Z16" s="1"/>
    </row>
    <row r="17" spans="1:26">
      <c r="A17" s="1" t="s">
        <v>12</v>
      </c>
      <c r="B17" s="1">
        <v>2024</v>
      </c>
      <c r="C17" s="9">
        <v>16700000</v>
      </c>
      <c r="D17" s="9">
        <v>1012</v>
      </c>
      <c r="E17" s="9">
        <v>20560</v>
      </c>
      <c r="F17" s="9">
        <v>16501.97628458498</v>
      </c>
      <c r="G17" s="9">
        <v>812.25680933852141</v>
      </c>
      <c r="H17" s="8">
        <v>0.11333333333333329</v>
      </c>
      <c r="I17" s="8">
        <v>-5.0656660412757959E-2</v>
      </c>
      <c r="J17" s="1"/>
      <c r="K17" s="1"/>
      <c r="L17" s="1"/>
      <c r="M17" s="1"/>
      <c r="N17" s="1"/>
      <c r="O17" s="1"/>
      <c r="P17" s="1"/>
      <c r="Q17" s="1"/>
      <c r="R17" s="1"/>
      <c r="S17" s="1"/>
      <c r="T17" s="1"/>
      <c r="U17" s="1"/>
      <c r="V17" s="1"/>
      <c r="W17" s="1"/>
      <c r="X17" s="1"/>
      <c r="Y17" s="1"/>
      <c r="Z17" s="1"/>
    </row>
    <row r="18" spans="1:26">
      <c r="A18" s="1" t="s">
        <v>12</v>
      </c>
      <c r="B18" s="1">
        <v>2025</v>
      </c>
      <c r="C18" s="9">
        <v>16200000</v>
      </c>
      <c r="D18" s="9">
        <v>997</v>
      </c>
      <c r="E18" s="9">
        <v>20630</v>
      </c>
      <c r="F18" s="9">
        <v>16248.746238716149</v>
      </c>
      <c r="G18" s="9">
        <v>785.2641783809986</v>
      </c>
      <c r="H18" s="8">
        <v>-2.9940119760479056E-2</v>
      </c>
      <c r="I18" s="8">
        <v>-1.4822134387351804E-2</v>
      </c>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4" t="s">
        <v>33</v>
      </c>
      <c r="B39" s="12"/>
      <c r="C39" s="12"/>
      <c r="D39" s="12"/>
      <c r="E39" s="12"/>
      <c r="F39" s="12"/>
      <c r="G39" s="12"/>
      <c r="H39" s="12"/>
      <c r="I39" s="12"/>
      <c r="J39" s="12"/>
      <c r="K39" s="12"/>
      <c r="L39" s="12"/>
      <c r="M39" s="1"/>
      <c r="N39" s="1"/>
      <c r="O39" s="1"/>
      <c r="P39" s="1"/>
      <c r="Q39" s="1"/>
      <c r="R39" s="1"/>
      <c r="S39" s="1"/>
      <c r="T39" s="1"/>
      <c r="U39" s="1"/>
      <c r="V39" s="1"/>
      <c r="W39" s="1"/>
      <c r="X39" s="1"/>
      <c r="Y39" s="1"/>
      <c r="Z39" s="1"/>
    </row>
    <row r="40" spans="1:26">
      <c r="A40" s="16" t="s">
        <v>53</v>
      </c>
      <c r="B40" s="12"/>
      <c r="C40" s="12"/>
      <c r="D40" s="12"/>
      <c r="E40" s="12"/>
      <c r="F40" s="12"/>
      <c r="G40" s="12"/>
      <c r="H40" s="12"/>
      <c r="I40" s="12"/>
      <c r="J40" s="12"/>
      <c r="K40" s="12"/>
      <c r="L40" s="12"/>
      <c r="M40" s="1"/>
      <c r="N40" s="1"/>
      <c r="O40" s="1"/>
      <c r="P40" s="1"/>
      <c r="Q40" s="1"/>
      <c r="R40" s="1"/>
      <c r="S40" s="1"/>
      <c r="T40" s="1"/>
      <c r="U40" s="1"/>
      <c r="V40" s="1"/>
      <c r="W40" s="1"/>
      <c r="X40" s="1"/>
      <c r="Y40" s="1"/>
      <c r="Z40" s="1"/>
    </row>
    <row r="41" spans="1:26">
      <c r="A41" s="12"/>
      <c r="B41" s="12"/>
      <c r="C41" s="12"/>
      <c r="D41" s="12"/>
      <c r="E41" s="12"/>
      <c r="F41" s="12"/>
      <c r="G41" s="12"/>
      <c r="H41" s="12"/>
      <c r="I41" s="12"/>
      <c r="J41" s="12"/>
      <c r="K41" s="12"/>
      <c r="L41" s="12"/>
      <c r="M41" s="1"/>
      <c r="N41" s="1"/>
      <c r="O41" s="1"/>
      <c r="P41" s="1"/>
      <c r="Q41" s="1"/>
      <c r="R41" s="1"/>
      <c r="S41" s="1"/>
      <c r="T41" s="1"/>
      <c r="U41" s="1"/>
      <c r="V41" s="1"/>
      <c r="W41" s="1"/>
      <c r="X41" s="1"/>
      <c r="Y41" s="1"/>
      <c r="Z41" s="1"/>
    </row>
    <row r="42" spans="1:26">
      <c r="A42" s="12"/>
      <c r="B42" s="12"/>
      <c r="C42" s="12"/>
      <c r="D42" s="12"/>
      <c r="E42" s="12"/>
      <c r="F42" s="12"/>
      <c r="G42" s="12"/>
      <c r="H42" s="12"/>
      <c r="I42" s="12"/>
      <c r="J42" s="12"/>
      <c r="K42" s="12"/>
      <c r="L42" s="12"/>
      <c r="M42" s="1"/>
      <c r="N42" s="1"/>
      <c r="O42" s="1"/>
      <c r="P42" s="1"/>
      <c r="Q42" s="1"/>
      <c r="R42" s="1"/>
      <c r="S42" s="1"/>
      <c r="T42" s="1"/>
      <c r="U42" s="1"/>
      <c r="V42" s="1"/>
      <c r="W42" s="1"/>
      <c r="X42" s="1"/>
      <c r="Y42" s="1"/>
      <c r="Z42" s="1"/>
    </row>
    <row r="43" spans="1:26">
      <c r="A43" s="12"/>
      <c r="B43" s="12"/>
      <c r="C43" s="12"/>
      <c r="D43" s="12"/>
      <c r="E43" s="12"/>
      <c r="F43" s="12"/>
      <c r="G43" s="12"/>
      <c r="H43" s="12"/>
      <c r="I43" s="12"/>
      <c r="J43" s="12"/>
      <c r="K43" s="12"/>
      <c r="L43" s="12"/>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sheetData>
  <mergeCells count="3">
    <mergeCell ref="A1:L1"/>
    <mergeCell ref="A39:L39"/>
    <mergeCell ref="A40:L4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
  <sheetViews>
    <sheetView tabSelected="1" zoomScaleNormal="100" zoomScaleSheetLayoutView="100" workbookViewId="0">
      <selection activeCell="C8" sqref="C8"/>
    </sheetView>
  </sheetViews>
  <sheetFormatPr defaultRowHeight="15"/>
  <cols>
    <col min="1" max="1" width="3.125" customWidth="1"/>
    <col min="2" max="2" width="55.375" customWidth="1"/>
    <col min="3" max="3" width="107.875" customWidth="1"/>
  </cols>
  <sheetData>
    <row r="1" spans="1:26" ht="27.95" customHeight="1">
      <c r="A1" s="11" t="s">
        <v>54</v>
      </c>
      <c r="B1" s="12"/>
      <c r="C1" s="12"/>
      <c r="D1" s="12"/>
      <c r="E1" s="12"/>
      <c r="F1" s="12"/>
      <c r="G1" s="12"/>
      <c r="H1" s="12"/>
      <c r="I1" s="12"/>
      <c r="J1" s="12"/>
      <c r="K1" s="12"/>
      <c r="L1" s="12"/>
      <c r="M1" s="1"/>
      <c r="N1" s="1"/>
      <c r="O1" s="1"/>
      <c r="P1" s="1"/>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c r="A3" s="5" t="s">
        <v>55</v>
      </c>
      <c r="B3" s="5" t="s">
        <v>56</v>
      </c>
      <c r="C3" s="5" t="s">
        <v>57</v>
      </c>
      <c r="D3" s="1"/>
      <c r="E3" s="1"/>
      <c r="F3" s="1"/>
      <c r="G3" s="1"/>
      <c r="H3" s="1"/>
      <c r="I3" s="1"/>
      <c r="J3" s="1"/>
      <c r="K3" s="1"/>
      <c r="L3" s="1"/>
      <c r="M3" s="1"/>
      <c r="N3" s="1"/>
      <c r="O3" s="1"/>
      <c r="P3" s="1"/>
      <c r="Q3" s="1"/>
      <c r="R3" s="1"/>
      <c r="S3" s="1"/>
      <c r="T3" s="1"/>
      <c r="U3" s="1"/>
      <c r="V3" s="1"/>
      <c r="W3" s="1"/>
      <c r="X3" s="1"/>
      <c r="Y3" s="1"/>
      <c r="Z3" s="1"/>
    </row>
    <row r="4" spans="1:26">
      <c r="A4" s="4" t="s">
        <v>14</v>
      </c>
      <c r="B4" s="10" t="s">
        <v>58</v>
      </c>
      <c r="C4" s="10" t="s">
        <v>59</v>
      </c>
      <c r="D4" s="1"/>
      <c r="E4" s="1"/>
      <c r="F4" s="1"/>
      <c r="G4" s="1"/>
      <c r="H4" s="1"/>
      <c r="I4" s="1"/>
      <c r="J4" s="1"/>
      <c r="K4" s="1"/>
      <c r="L4" s="1"/>
      <c r="M4" s="1"/>
      <c r="N4" s="1"/>
      <c r="O4" s="1"/>
      <c r="P4" s="1"/>
      <c r="Q4" s="1"/>
      <c r="R4" s="1"/>
      <c r="S4" s="1"/>
      <c r="T4" s="1"/>
      <c r="U4" s="1"/>
      <c r="V4" s="1"/>
      <c r="W4" s="1"/>
      <c r="X4" s="1"/>
      <c r="Y4" s="1"/>
      <c r="Z4" s="1"/>
    </row>
    <row r="5" spans="1:26">
      <c r="A5" s="4" t="s">
        <v>16</v>
      </c>
      <c r="B5" s="10" t="s">
        <v>60</v>
      </c>
      <c r="C5" s="10" t="s">
        <v>61</v>
      </c>
      <c r="D5" s="1"/>
      <c r="E5" s="1"/>
      <c r="F5" s="1"/>
      <c r="G5" s="1"/>
      <c r="H5" s="1"/>
      <c r="I5" s="1"/>
      <c r="J5" s="1"/>
      <c r="K5" s="1"/>
      <c r="L5" s="1"/>
      <c r="M5" s="1"/>
      <c r="N5" s="1"/>
      <c r="O5" s="1"/>
      <c r="P5" s="1"/>
      <c r="Q5" s="1"/>
      <c r="R5" s="1"/>
      <c r="S5" s="1"/>
      <c r="T5" s="1"/>
      <c r="U5" s="1"/>
      <c r="V5" s="1"/>
      <c r="W5" s="1"/>
      <c r="X5" s="1"/>
      <c r="Y5" s="1"/>
      <c r="Z5" s="1"/>
    </row>
    <row r="6" spans="1:26">
      <c r="A6" s="4" t="s">
        <v>18</v>
      </c>
      <c r="B6" s="10" t="s">
        <v>62</v>
      </c>
      <c r="C6" s="10" t="s">
        <v>63</v>
      </c>
      <c r="D6" s="1"/>
      <c r="E6" s="1"/>
      <c r="F6" s="1"/>
      <c r="G6" s="1"/>
      <c r="H6" s="1"/>
      <c r="I6" s="1"/>
      <c r="J6" s="1"/>
      <c r="K6" s="1"/>
      <c r="L6" s="1"/>
      <c r="M6" s="1"/>
      <c r="N6" s="1"/>
      <c r="O6" s="1"/>
      <c r="P6" s="1"/>
      <c r="Q6" s="1"/>
      <c r="R6" s="1"/>
      <c r="S6" s="1"/>
      <c r="T6" s="1"/>
      <c r="U6" s="1"/>
      <c r="V6" s="1"/>
      <c r="W6" s="1"/>
      <c r="X6" s="1"/>
      <c r="Y6" s="1"/>
      <c r="Z6" s="1"/>
    </row>
    <row r="7" spans="1:26">
      <c r="A7" s="4" t="s">
        <v>20</v>
      </c>
      <c r="B7" s="10" t="s">
        <v>64</v>
      </c>
      <c r="C7" s="10" t="s">
        <v>65</v>
      </c>
      <c r="D7" s="1"/>
      <c r="E7" s="1"/>
      <c r="F7" s="1"/>
      <c r="G7" s="1"/>
      <c r="H7" s="1"/>
      <c r="I7" s="1"/>
      <c r="J7" s="1"/>
      <c r="K7" s="1"/>
      <c r="L7" s="1"/>
      <c r="M7" s="1"/>
      <c r="N7" s="1"/>
      <c r="O7" s="1"/>
      <c r="P7" s="1"/>
      <c r="Q7" s="1"/>
      <c r="R7" s="1"/>
      <c r="S7" s="1"/>
      <c r="T7" s="1"/>
      <c r="U7" s="1"/>
      <c r="V7" s="1"/>
      <c r="W7" s="1"/>
      <c r="X7" s="1"/>
      <c r="Y7" s="1"/>
      <c r="Z7" s="1"/>
    </row>
    <row r="8" spans="1:26">
      <c r="A8" s="4" t="s">
        <v>66</v>
      </c>
      <c r="B8" s="10" t="s">
        <v>67</v>
      </c>
      <c r="C8" s="10" t="s">
        <v>68</v>
      </c>
      <c r="D8" s="1"/>
      <c r="E8" s="1"/>
      <c r="F8" s="1"/>
      <c r="G8" s="1"/>
      <c r="H8" s="1"/>
      <c r="I8" s="1"/>
      <c r="J8" s="1"/>
      <c r="K8" s="1"/>
      <c r="L8" s="1"/>
      <c r="M8" s="1"/>
      <c r="N8" s="1"/>
      <c r="O8" s="1"/>
      <c r="P8" s="1"/>
      <c r="Q8" s="1"/>
      <c r="R8" s="1"/>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c r="A10" s="14" t="s">
        <v>69</v>
      </c>
      <c r="B10" s="12"/>
      <c r="C10" s="12"/>
      <c r="D10" s="12"/>
      <c r="E10" s="12"/>
      <c r="F10" s="12"/>
      <c r="G10" s="12"/>
      <c r="H10" s="12"/>
      <c r="I10" s="12"/>
      <c r="J10" s="12"/>
      <c r="K10" s="12"/>
      <c r="L10" s="12"/>
      <c r="M10" s="1"/>
      <c r="N10" s="1"/>
      <c r="O10" s="1"/>
      <c r="P10" s="1"/>
      <c r="Q10" s="1"/>
      <c r="R10" s="1"/>
      <c r="S10" s="1"/>
      <c r="T10" s="1"/>
      <c r="U10" s="1"/>
      <c r="V10" s="1"/>
      <c r="W10" s="1"/>
      <c r="X10" s="1"/>
      <c r="Y10" s="1"/>
      <c r="Z10" s="1"/>
    </row>
    <row r="11" spans="1:26">
      <c r="A11" s="17" t="s">
        <v>70</v>
      </c>
      <c r="B11" s="12"/>
      <c r="C11" s="12"/>
      <c r="D11" s="12"/>
      <c r="E11" s="12"/>
      <c r="F11" s="12"/>
      <c r="G11" s="12"/>
      <c r="H11" s="12"/>
      <c r="I11" s="12"/>
      <c r="J11" s="12"/>
      <c r="K11" s="12"/>
      <c r="L11" s="12"/>
      <c r="M11" s="1"/>
      <c r="N11" s="1"/>
      <c r="O11" s="1"/>
      <c r="P11" s="1"/>
      <c r="Q11" s="1"/>
      <c r="R11" s="1"/>
      <c r="S11" s="1"/>
      <c r="T11" s="1"/>
      <c r="U11" s="1"/>
      <c r="V11" s="1"/>
      <c r="W11" s="1"/>
      <c r="X11" s="1"/>
      <c r="Y11" s="1"/>
      <c r="Z11" s="1"/>
    </row>
    <row r="12" spans="1:26">
      <c r="A12" s="12"/>
      <c r="B12" s="12"/>
      <c r="C12" s="12"/>
      <c r="D12" s="12"/>
      <c r="E12" s="12"/>
      <c r="F12" s="12"/>
      <c r="G12" s="12"/>
      <c r="H12" s="12"/>
      <c r="I12" s="12"/>
      <c r="J12" s="12"/>
      <c r="K12" s="12"/>
      <c r="L12" s="12"/>
      <c r="M12" s="1"/>
      <c r="N12" s="1"/>
      <c r="O12" s="1"/>
      <c r="P12" s="1"/>
      <c r="Q12" s="1"/>
      <c r="R12" s="1"/>
      <c r="S12" s="1"/>
      <c r="T12" s="1"/>
      <c r="U12" s="1"/>
      <c r="V12" s="1"/>
      <c r="W12" s="1"/>
      <c r="X12" s="1"/>
      <c r="Y12" s="1"/>
      <c r="Z12" s="1"/>
    </row>
    <row r="13" spans="1:26">
      <c r="A13" s="12"/>
      <c r="B13" s="12"/>
      <c r="C13" s="12"/>
      <c r="D13" s="12"/>
      <c r="E13" s="12"/>
      <c r="F13" s="12"/>
      <c r="G13" s="12"/>
      <c r="H13" s="12"/>
      <c r="I13" s="12"/>
      <c r="J13" s="12"/>
      <c r="K13" s="12"/>
      <c r="L13" s="12"/>
      <c r="M13" s="1"/>
      <c r="N13" s="1"/>
      <c r="O13" s="1"/>
      <c r="P13" s="1"/>
      <c r="Q13" s="1"/>
      <c r="R13" s="1"/>
      <c r="S13" s="1"/>
      <c r="T13" s="1"/>
      <c r="U13" s="1"/>
      <c r="V13" s="1"/>
      <c r="W13" s="1"/>
      <c r="X13" s="1"/>
      <c r="Y13" s="1"/>
      <c r="Z13" s="1"/>
    </row>
    <row r="14" spans="1:26">
      <c r="A14" s="12"/>
      <c r="B14" s="12"/>
      <c r="C14" s="12"/>
      <c r="D14" s="12"/>
      <c r="E14" s="12"/>
      <c r="F14" s="12"/>
      <c r="G14" s="12"/>
      <c r="H14" s="12"/>
      <c r="I14" s="12"/>
      <c r="J14" s="12"/>
      <c r="K14" s="12"/>
      <c r="L14" s="12"/>
      <c r="M14" s="1"/>
      <c r="N14" s="1"/>
      <c r="O14" s="1"/>
      <c r="P14" s="1"/>
      <c r="Q14" s="1"/>
      <c r="R14" s="1"/>
      <c r="S14" s="1"/>
      <c r="T14" s="1"/>
      <c r="U14" s="1"/>
      <c r="V14" s="1"/>
      <c r="W14" s="1"/>
      <c r="X14" s="1"/>
      <c r="Y14" s="1"/>
      <c r="Z14" s="1"/>
    </row>
    <row r="15" spans="1:26">
      <c r="A15" s="12"/>
      <c r="B15" s="12"/>
      <c r="C15" s="12"/>
      <c r="D15" s="12"/>
      <c r="E15" s="12"/>
      <c r="F15" s="12"/>
      <c r="G15" s="12"/>
      <c r="H15" s="12"/>
      <c r="I15" s="12"/>
      <c r="J15" s="12"/>
      <c r="K15" s="12"/>
      <c r="L15" s="12"/>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sheetData>
  <mergeCells count="3">
    <mergeCell ref="A1:L1"/>
    <mergeCell ref="A10:L10"/>
    <mergeCell ref="A11:L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
  <sheetViews>
    <sheetView zoomScaleNormal="100" zoomScaleSheetLayoutView="100" workbookViewId="0"/>
  </sheetViews>
  <sheetFormatPr defaultRowHeight="15"/>
  <cols>
    <col min="1" max="1" width="8.375" customWidth="1"/>
    <col min="2" max="2" width="23.25" customWidth="1"/>
    <col min="3" max="3" width="22.5" customWidth="1"/>
    <col min="4" max="4" width="30.125" customWidth="1"/>
    <col min="5" max="5" width="27.75" customWidth="1"/>
    <col min="6" max="6" width="15" customWidth="1"/>
    <col min="7" max="7" width="15.75" customWidth="1"/>
    <col min="8" max="8" width="16" customWidth="1"/>
    <col min="9" max="9" width="14" customWidth="1"/>
    <col min="10" max="10" width="15.75" customWidth="1"/>
  </cols>
  <sheetData>
    <row r="1" spans="1:26" ht="27.95" customHeight="1">
      <c r="A1" s="11" t="s">
        <v>71</v>
      </c>
      <c r="B1" s="12"/>
      <c r="C1" s="12"/>
      <c r="D1" s="12"/>
      <c r="E1" s="12"/>
      <c r="F1" s="12"/>
      <c r="G1" s="12"/>
      <c r="H1" s="12"/>
      <c r="I1" s="12"/>
      <c r="J1" s="12"/>
      <c r="K1" s="1"/>
      <c r="L1" s="1"/>
      <c r="M1" s="1"/>
      <c r="N1" s="1"/>
      <c r="O1" s="1"/>
      <c r="P1" s="1"/>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c r="A3" s="5" t="s">
        <v>23</v>
      </c>
      <c r="B3" s="5" t="s">
        <v>24</v>
      </c>
      <c r="C3" s="5" t="s">
        <v>25</v>
      </c>
      <c r="D3" s="5" t="s">
        <v>26</v>
      </c>
      <c r="E3" s="5" t="s">
        <v>27</v>
      </c>
      <c r="F3" s="5" t="s">
        <v>28</v>
      </c>
      <c r="G3" s="5" t="s">
        <v>29</v>
      </c>
      <c r="H3" s="5" t="s">
        <v>30</v>
      </c>
      <c r="I3" s="5" t="s">
        <v>31</v>
      </c>
      <c r="J3" s="5" t="s">
        <v>32</v>
      </c>
      <c r="K3" s="1"/>
      <c r="L3" s="1"/>
      <c r="M3" s="1"/>
      <c r="N3" s="1"/>
      <c r="O3" s="1"/>
      <c r="P3" s="1"/>
      <c r="Q3" s="1"/>
      <c r="R3" s="1"/>
      <c r="S3" s="1"/>
      <c r="T3" s="1"/>
      <c r="U3" s="1"/>
      <c r="V3" s="1"/>
      <c r="W3" s="1"/>
      <c r="X3" s="1"/>
      <c r="Y3" s="1"/>
      <c r="Z3" s="1"/>
    </row>
    <row r="4" spans="1:26">
      <c r="A4" s="6">
        <v>2021</v>
      </c>
      <c r="B4" s="7">
        <v>2.7639999999999998</v>
      </c>
      <c r="C4" s="7">
        <v>65.953999999999994</v>
      </c>
      <c r="D4" s="7">
        <v>9.2140000000000004</v>
      </c>
      <c r="E4" s="7">
        <v>77.932000000000002</v>
      </c>
      <c r="F4" s="8">
        <v>0.84630190419999995</v>
      </c>
      <c r="G4" s="8">
        <v>3.54668172E-2</v>
      </c>
      <c r="H4" s="8">
        <v>0.1182312786</v>
      </c>
      <c r="I4" s="8"/>
      <c r="J4" s="8"/>
      <c r="K4" s="1"/>
      <c r="L4" s="1"/>
      <c r="M4" s="1"/>
      <c r="N4" s="1"/>
      <c r="O4" s="1"/>
      <c r="P4" s="1"/>
      <c r="Q4" s="1"/>
      <c r="R4" s="1"/>
      <c r="S4" s="1"/>
      <c r="T4" s="1"/>
      <c r="U4" s="1"/>
      <c r="V4" s="1"/>
      <c r="W4" s="1"/>
      <c r="X4" s="1"/>
      <c r="Y4" s="1"/>
      <c r="Z4" s="1"/>
    </row>
    <row r="5" spans="1:26">
      <c r="A5" s="6">
        <v>2022</v>
      </c>
      <c r="B5" s="7">
        <v>2.3010000000000002</v>
      </c>
      <c r="C5" s="7">
        <v>82.304000000000002</v>
      </c>
      <c r="D5" s="7">
        <v>9.7859999999999996</v>
      </c>
      <c r="E5" s="7">
        <v>94.39</v>
      </c>
      <c r="F5" s="8">
        <v>0.87195677510000003</v>
      </c>
      <c r="G5" s="8">
        <v>2.43775824E-2</v>
      </c>
      <c r="H5" s="8">
        <v>0.1036762369</v>
      </c>
      <c r="I5" s="8">
        <v>0.2111841092</v>
      </c>
      <c r="J5" s="8">
        <v>0.2479000516</v>
      </c>
      <c r="K5" s="1"/>
      <c r="L5" s="1"/>
      <c r="M5" s="1"/>
      <c r="N5" s="1"/>
      <c r="O5" s="1"/>
      <c r="P5" s="1"/>
      <c r="Q5" s="1"/>
      <c r="R5" s="1"/>
      <c r="S5" s="1"/>
      <c r="T5" s="1"/>
      <c r="U5" s="1"/>
      <c r="V5" s="1"/>
      <c r="W5" s="1"/>
      <c r="X5" s="1"/>
      <c r="Y5" s="1"/>
      <c r="Z5" s="1"/>
    </row>
    <row r="6" spans="1:26">
      <c r="A6" s="6">
        <v>2023</v>
      </c>
      <c r="B6" s="7">
        <v>1.802</v>
      </c>
      <c r="C6" s="7">
        <v>98.543000000000006</v>
      </c>
      <c r="D6" s="7">
        <v>10.243</v>
      </c>
      <c r="E6" s="7">
        <v>110.58799999999999</v>
      </c>
      <c r="F6" s="8">
        <v>0.89108221509999996</v>
      </c>
      <c r="G6" s="8">
        <v>1.6294715500000001E-2</v>
      </c>
      <c r="H6" s="8">
        <v>9.2623069399999994E-2</v>
      </c>
      <c r="I6" s="8">
        <v>0.17160716179999999</v>
      </c>
      <c r="J6" s="8">
        <v>0.19730511279999999</v>
      </c>
      <c r="K6" s="1"/>
      <c r="L6" s="1"/>
      <c r="M6" s="1"/>
      <c r="N6" s="1"/>
      <c r="O6" s="1"/>
      <c r="P6" s="1"/>
      <c r="Q6" s="1"/>
      <c r="R6" s="1"/>
      <c r="S6" s="1"/>
      <c r="T6" s="1"/>
      <c r="U6" s="1"/>
      <c r="V6" s="1"/>
      <c r="W6" s="1"/>
      <c r="X6" s="1"/>
      <c r="Y6" s="1"/>
      <c r="Z6" s="1"/>
    </row>
    <row r="7" spans="1:26">
      <c r="A7" s="6">
        <v>2024</v>
      </c>
      <c r="B7" s="7">
        <v>1.3680000000000001</v>
      </c>
      <c r="C7" s="7">
        <v>109.64400000000001</v>
      </c>
      <c r="D7" s="7">
        <v>8.1110000000000007</v>
      </c>
      <c r="E7" s="7">
        <v>119.123</v>
      </c>
      <c r="F7" s="8">
        <v>0.92042678580000004</v>
      </c>
      <c r="G7" s="8">
        <v>1.1483928399999999E-2</v>
      </c>
      <c r="H7" s="8">
        <v>6.8089285900000004E-2</v>
      </c>
      <c r="I7" s="8">
        <v>7.7178355700000006E-2</v>
      </c>
      <c r="J7" s="8">
        <v>0.1126513299</v>
      </c>
      <c r="K7" s="1"/>
      <c r="L7" s="1"/>
      <c r="M7" s="1"/>
      <c r="N7" s="1"/>
      <c r="O7" s="1"/>
      <c r="P7" s="1"/>
      <c r="Q7" s="1"/>
      <c r="R7" s="1"/>
      <c r="S7" s="1"/>
      <c r="T7" s="1"/>
      <c r="U7" s="1"/>
      <c r="V7" s="1"/>
      <c r="W7" s="1"/>
      <c r="X7" s="1"/>
      <c r="Y7" s="1"/>
      <c r="Z7" s="1"/>
    </row>
    <row r="8" spans="1:26">
      <c r="A8" s="6">
        <v>2025</v>
      </c>
      <c r="B8" s="7">
        <v>1.079</v>
      </c>
      <c r="C8" s="7">
        <v>119.78</v>
      </c>
      <c r="D8" s="7">
        <v>6.8179999999999996</v>
      </c>
      <c r="E8" s="7">
        <v>127.67700000000001</v>
      </c>
      <c r="F8" s="8">
        <v>0.9381486094</v>
      </c>
      <c r="G8" s="8">
        <v>8.4510130999999999E-3</v>
      </c>
      <c r="H8" s="8">
        <v>5.3400377499999999E-2</v>
      </c>
      <c r="I8" s="8">
        <v>7.1808131100000006E-2</v>
      </c>
      <c r="J8" s="8">
        <v>9.2444638999999995E-2</v>
      </c>
      <c r="K8" s="1"/>
      <c r="L8" s="1"/>
      <c r="M8" s="1"/>
      <c r="N8" s="1"/>
      <c r="O8" s="1"/>
      <c r="P8" s="1"/>
      <c r="Q8" s="1"/>
      <c r="R8" s="1"/>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sheetData>
  <mergeCells count="1">
    <mergeCell ref="A1:J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
  <sheetViews>
    <sheetView zoomScaleNormal="100" zoomScaleSheetLayoutView="100" workbookViewId="0">
      <selection activeCell="B14" sqref="B14"/>
    </sheetView>
  </sheetViews>
  <sheetFormatPr defaultRowHeight="15"/>
  <cols>
    <col min="1" max="1" width="10.625" customWidth="1"/>
    <col min="2" max="2" width="6.625" customWidth="1"/>
    <col min="3" max="3" width="12.125" customWidth="1"/>
    <col min="4" max="4" width="14.25" customWidth="1"/>
    <col min="5" max="5" width="7.375" customWidth="1"/>
    <col min="6" max="6" width="8.75" customWidth="1"/>
    <col min="7" max="7" width="9.75" customWidth="1"/>
    <col min="8" max="8" width="23.25" customWidth="1"/>
    <col min="9" max="9" width="21.625" customWidth="1"/>
    <col min="10" max="10" width="24.125" customWidth="1"/>
    <col min="11" max="11" width="19.75" customWidth="1"/>
    <col min="12" max="12" width="15.25" customWidth="1"/>
    <col min="13" max="13" width="15.5" customWidth="1"/>
    <col min="14" max="14" width="10.25" customWidth="1"/>
    <col min="15" max="15" width="42" customWidth="1"/>
  </cols>
  <sheetData>
    <row r="1" spans="1:26" ht="27.95" customHeight="1">
      <c r="A1" s="11" t="s">
        <v>72</v>
      </c>
      <c r="B1" s="12"/>
      <c r="C1" s="12"/>
      <c r="D1" s="12"/>
      <c r="E1" s="12"/>
      <c r="F1" s="12"/>
      <c r="G1" s="12"/>
      <c r="H1" s="12"/>
      <c r="I1" s="12"/>
      <c r="J1" s="12"/>
      <c r="K1" s="12"/>
      <c r="L1" s="12"/>
      <c r="M1" s="12"/>
      <c r="N1" s="12"/>
      <c r="O1" s="12"/>
      <c r="P1" s="1"/>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c r="A3" s="5" t="s">
        <v>2</v>
      </c>
      <c r="B3" s="5" t="s">
        <v>23</v>
      </c>
      <c r="C3" s="5" t="s">
        <v>73</v>
      </c>
      <c r="D3" s="5" t="s">
        <v>50</v>
      </c>
      <c r="E3" s="5" t="s">
        <v>38</v>
      </c>
      <c r="F3" s="5" t="s">
        <v>39</v>
      </c>
      <c r="G3" s="5" t="s">
        <v>40</v>
      </c>
      <c r="H3" s="5" t="s">
        <v>74</v>
      </c>
      <c r="I3" s="5" t="s">
        <v>41</v>
      </c>
      <c r="J3" s="5" t="s">
        <v>42</v>
      </c>
      <c r="K3" s="5" t="s">
        <v>75</v>
      </c>
      <c r="L3" s="5" t="s">
        <v>51</v>
      </c>
      <c r="M3" s="5" t="s">
        <v>52</v>
      </c>
      <c r="N3" s="5" t="s">
        <v>43</v>
      </c>
      <c r="O3" s="5" t="s">
        <v>76</v>
      </c>
      <c r="P3" s="1"/>
      <c r="Q3" s="1"/>
      <c r="R3" s="1"/>
      <c r="S3" s="1"/>
      <c r="T3" s="1"/>
      <c r="U3" s="1"/>
      <c r="V3" s="1"/>
      <c r="W3" s="1"/>
      <c r="X3" s="1"/>
      <c r="Y3" s="1"/>
      <c r="Z3" s="1"/>
    </row>
    <row r="4" spans="1:26">
      <c r="A4" s="1" t="s">
        <v>6</v>
      </c>
      <c r="B4" s="6">
        <v>2021</v>
      </c>
      <c r="C4" s="9">
        <v>20376831</v>
      </c>
      <c r="D4" s="9">
        <v>11040150</v>
      </c>
      <c r="E4" s="9">
        <v>872</v>
      </c>
      <c r="F4" s="9">
        <v>20962</v>
      </c>
      <c r="G4" s="9">
        <v>5401</v>
      </c>
      <c r="H4" s="8">
        <v>0.54179916396224714</v>
      </c>
      <c r="I4" s="9">
        <v>12660.722477064221</v>
      </c>
      <c r="J4" s="9">
        <v>526.67445854403206</v>
      </c>
      <c r="K4" s="9">
        <v>2044.0936863543789</v>
      </c>
      <c r="L4" s="8"/>
      <c r="M4" s="8"/>
      <c r="N4" s="1" t="s">
        <v>44</v>
      </c>
      <c r="O4" s="10" t="s">
        <v>77</v>
      </c>
      <c r="P4" s="1"/>
      <c r="Q4" s="1"/>
      <c r="R4" s="1"/>
      <c r="S4" s="1"/>
      <c r="T4" s="1"/>
      <c r="U4" s="1"/>
      <c r="V4" s="1"/>
      <c r="W4" s="1"/>
      <c r="X4" s="1"/>
      <c r="Y4" s="1"/>
      <c r="Z4" s="1"/>
    </row>
    <row r="5" spans="1:26">
      <c r="A5" s="1" t="s">
        <v>6</v>
      </c>
      <c r="B5" s="6">
        <v>2022</v>
      </c>
      <c r="C5" s="9">
        <v>23179429</v>
      </c>
      <c r="D5" s="9">
        <v>13386156</v>
      </c>
      <c r="E5" s="9">
        <v>838</v>
      </c>
      <c r="F5" s="9">
        <v>21684</v>
      </c>
      <c r="G5" s="9">
        <v>5450</v>
      </c>
      <c r="H5" s="8">
        <v>0.57750154242367235</v>
      </c>
      <c r="I5" s="9">
        <v>15973.933174224343</v>
      </c>
      <c r="J5" s="9">
        <v>617.32872163807417</v>
      </c>
      <c r="K5" s="9">
        <v>2456.1754128440366</v>
      </c>
      <c r="L5" s="8">
        <v>0.21249765628184392</v>
      </c>
      <c r="M5" s="8">
        <v>-3.8990825688073438E-2</v>
      </c>
      <c r="N5" s="1" t="s">
        <v>44</v>
      </c>
      <c r="O5" s="10" t="s">
        <v>77</v>
      </c>
      <c r="P5" s="1"/>
      <c r="Q5" s="1"/>
      <c r="R5" s="1"/>
      <c r="S5" s="1"/>
      <c r="T5" s="1"/>
      <c r="U5" s="1"/>
      <c r="V5" s="1"/>
      <c r="W5" s="1"/>
      <c r="X5" s="1"/>
      <c r="Y5" s="1"/>
      <c r="Z5" s="1"/>
    </row>
    <row r="6" spans="1:26">
      <c r="A6" s="1" t="s">
        <v>6</v>
      </c>
      <c r="B6" s="6">
        <v>2023</v>
      </c>
      <c r="C6" s="9">
        <v>25351113</v>
      </c>
      <c r="D6" s="9">
        <v>15046929</v>
      </c>
      <c r="E6" s="9">
        <v>805</v>
      </c>
      <c r="F6" s="9">
        <v>22016</v>
      </c>
      <c r="G6" s="9">
        <v>5511</v>
      </c>
      <c r="H6" s="8">
        <v>0.59354115931714713</v>
      </c>
      <c r="I6" s="9">
        <v>18691.837267080744</v>
      </c>
      <c r="J6" s="9">
        <v>683.45426053779067</v>
      </c>
      <c r="K6" s="9">
        <v>2730.3445835601524</v>
      </c>
      <c r="L6" s="8">
        <v>0.12406646090184514</v>
      </c>
      <c r="M6" s="8">
        <v>-3.9379474940334114E-2</v>
      </c>
      <c r="N6" s="1" t="s">
        <v>44</v>
      </c>
      <c r="O6" s="10" t="s">
        <v>77</v>
      </c>
      <c r="P6" s="1"/>
      <c r="Q6" s="1"/>
      <c r="R6" s="1"/>
      <c r="S6" s="1"/>
      <c r="T6" s="1"/>
      <c r="U6" s="1"/>
      <c r="V6" s="1"/>
      <c r="W6" s="1"/>
      <c r="X6" s="1"/>
      <c r="Y6" s="1"/>
      <c r="Z6" s="1"/>
    </row>
    <row r="7" spans="1:26">
      <c r="A7" s="1" t="s">
        <v>6</v>
      </c>
      <c r="B7" s="6">
        <v>2024</v>
      </c>
      <c r="C7" s="9">
        <v>27717447</v>
      </c>
      <c r="D7" s="9">
        <v>16718413</v>
      </c>
      <c r="E7" s="9">
        <v>795</v>
      </c>
      <c r="F7" s="9">
        <v>22664</v>
      </c>
      <c r="G7" s="9">
        <v>5820</v>
      </c>
      <c r="H7" s="8">
        <v>0.60317290405570179</v>
      </c>
      <c r="I7" s="9">
        <v>21029.450314465408</v>
      </c>
      <c r="J7" s="9">
        <v>737.66382809742322</v>
      </c>
      <c r="K7" s="9">
        <v>2872.5795532646048</v>
      </c>
      <c r="L7" s="8">
        <v>0.11108472698980631</v>
      </c>
      <c r="M7" s="8">
        <v>-1.2422360248447228E-2</v>
      </c>
      <c r="N7" s="1" t="s">
        <v>44</v>
      </c>
      <c r="O7" s="10" t="s">
        <v>77</v>
      </c>
      <c r="P7" s="1"/>
      <c r="Q7" s="1"/>
      <c r="R7" s="1"/>
      <c r="S7" s="1"/>
      <c r="T7" s="1"/>
      <c r="U7" s="1"/>
      <c r="V7" s="1"/>
      <c r="W7" s="1"/>
      <c r="X7" s="1"/>
      <c r="Y7" s="1"/>
      <c r="Z7" s="1"/>
    </row>
    <row r="8" spans="1:26">
      <c r="A8" s="1" t="s">
        <v>6</v>
      </c>
      <c r="B8" s="6">
        <v>2025</v>
      </c>
      <c r="C8" s="9">
        <v>30141660</v>
      </c>
      <c r="D8" s="9">
        <v>18040749</v>
      </c>
      <c r="E8" s="9">
        <v>795</v>
      </c>
      <c r="F8" s="9">
        <v>23311</v>
      </c>
      <c r="G8" s="9">
        <v>6558</v>
      </c>
      <c r="H8" s="8">
        <v>0.59853203174609493</v>
      </c>
      <c r="I8" s="9">
        <v>22692.766037735848</v>
      </c>
      <c r="J8" s="9">
        <v>773.91570503195919</v>
      </c>
      <c r="K8" s="9">
        <v>2750.9528819762122</v>
      </c>
      <c r="L8" s="8">
        <v>7.9094588702887103E-2</v>
      </c>
      <c r="M8" s="8">
        <v>0</v>
      </c>
      <c r="N8" s="1" t="s">
        <v>44</v>
      </c>
      <c r="O8" s="10" t="s">
        <v>77</v>
      </c>
      <c r="P8" s="1"/>
      <c r="Q8" s="1"/>
      <c r="R8" s="1"/>
      <c r="S8" s="1"/>
      <c r="T8" s="1"/>
      <c r="U8" s="1"/>
      <c r="V8" s="1"/>
      <c r="W8" s="1"/>
      <c r="X8" s="1"/>
      <c r="Y8" s="1"/>
      <c r="Z8" s="1"/>
    </row>
    <row r="9" spans="1:26">
      <c r="A9" s="1" t="s">
        <v>5</v>
      </c>
      <c r="B9" s="6">
        <v>2021</v>
      </c>
      <c r="C9" s="9">
        <v>10000000</v>
      </c>
      <c r="D9" s="9">
        <v>6600000</v>
      </c>
      <c r="E9" s="9">
        <v>711</v>
      </c>
      <c r="F9" s="9">
        <v>12000</v>
      </c>
      <c r="G9" s="9">
        <v>5300</v>
      </c>
      <c r="H9" s="8">
        <v>0.66</v>
      </c>
      <c r="I9" s="9">
        <v>9282.7004219409282</v>
      </c>
      <c r="J9" s="9">
        <v>550</v>
      </c>
      <c r="K9" s="9">
        <v>1245.2830188679245</v>
      </c>
      <c r="L9" s="8"/>
      <c r="M9" s="8"/>
      <c r="N9" s="1" t="s">
        <v>78</v>
      </c>
      <c r="O9" s="10" t="s">
        <v>79</v>
      </c>
      <c r="P9" s="1"/>
      <c r="Q9" s="1"/>
      <c r="R9" s="1"/>
      <c r="S9" s="1"/>
      <c r="T9" s="1"/>
      <c r="U9" s="1"/>
      <c r="V9" s="1"/>
      <c r="W9" s="1"/>
      <c r="X9" s="1"/>
      <c r="Y9" s="1"/>
      <c r="Z9" s="1"/>
    </row>
    <row r="10" spans="1:26">
      <c r="A10" s="1" t="s">
        <v>5</v>
      </c>
      <c r="B10" s="6">
        <v>2022</v>
      </c>
      <c r="C10" s="9">
        <v>10800000</v>
      </c>
      <c r="D10" s="9">
        <v>8700000</v>
      </c>
      <c r="E10" s="9">
        <v>711</v>
      </c>
      <c r="F10" s="9">
        <v>12000</v>
      </c>
      <c r="G10" s="9">
        <v>5900</v>
      </c>
      <c r="H10" s="8">
        <v>0.80555555555555558</v>
      </c>
      <c r="I10" s="9">
        <v>12236.286919831224</v>
      </c>
      <c r="J10" s="9">
        <v>725</v>
      </c>
      <c r="K10" s="9">
        <v>1474.5762711864406</v>
      </c>
      <c r="L10" s="8">
        <v>0.31818181818181812</v>
      </c>
      <c r="M10" s="8">
        <v>0</v>
      </c>
      <c r="N10" s="1" t="s">
        <v>78</v>
      </c>
      <c r="O10" s="10" t="s">
        <v>79</v>
      </c>
      <c r="P10" s="1"/>
      <c r="Q10" s="1"/>
      <c r="R10" s="1"/>
      <c r="S10" s="1"/>
      <c r="T10" s="1"/>
      <c r="U10" s="1"/>
      <c r="V10" s="1"/>
      <c r="W10" s="1"/>
      <c r="X10" s="1"/>
      <c r="Y10" s="1"/>
      <c r="Z10" s="1"/>
    </row>
    <row r="11" spans="1:26">
      <c r="A11" s="1" t="s">
        <v>5</v>
      </c>
      <c r="B11" s="6">
        <v>2023</v>
      </c>
      <c r="C11" s="9">
        <v>13100000</v>
      </c>
      <c r="D11" s="9">
        <v>11200000</v>
      </c>
      <c r="E11" s="9">
        <v>705</v>
      </c>
      <c r="F11" s="9">
        <v>12000</v>
      </c>
      <c r="G11" s="9">
        <v>5854</v>
      </c>
      <c r="H11" s="8">
        <v>0.85496183206106868</v>
      </c>
      <c r="I11" s="9">
        <v>15886.524822695035</v>
      </c>
      <c r="J11" s="9">
        <v>933.33333333333337</v>
      </c>
      <c r="K11" s="9">
        <v>1913.2217287324906</v>
      </c>
      <c r="L11" s="8">
        <v>0.28735632183908044</v>
      </c>
      <c r="M11" s="8">
        <v>-8.4388185654008518E-3</v>
      </c>
      <c r="N11" s="1" t="s">
        <v>78</v>
      </c>
      <c r="O11" s="10" t="s">
        <v>80</v>
      </c>
      <c r="P11" s="1"/>
      <c r="Q11" s="1"/>
      <c r="R11" s="1"/>
      <c r="S11" s="1"/>
      <c r="T11" s="1"/>
      <c r="U11" s="1"/>
      <c r="V11" s="1"/>
      <c r="W11" s="1"/>
      <c r="X11" s="1"/>
      <c r="Y11" s="1"/>
      <c r="Z11" s="1"/>
    </row>
    <row r="12" spans="1:26">
      <c r="A12" s="1" t="s">
        <v>5</v>
      </c>
      <c r="B12" s="6">
        <v>2024</v>
      </c>
      <c r="C12" s="9">
        <v>14500000</v>
      </c>
      <c r="D12" s="9">
        <v>12500000</v>
      </c>
      <c r="E12" s="9">
        <v>694</v>
      </c>
      <c r="F12" s="9">
        <v>12778</v>
      </c>
      <c r="G12" s="9">
        <v>6210</v>
      </c>
      <c r="H12" s="8">
        <v>0.86206896551724133</v>
      </c>
      <c r="I12" s="9">
        <v>18011.527377521616</v>
      </c>
      <c r="J12" s="9">
        <v>978.24385662858037</v>
      </c>
      <c r="K12" s="9">
        <v>2012.8824476650564</v>
      </c>
      <c r="L12" s="8">
        <v>0.1160714285714286</v>
      </c>
      <c r="M12" s="8">
        <v>-1.5602836879432647E-2</v>
      </c>
      <c r="N12" s="1" t="s">
        <v>46</v>
      </c>
      <c r="O12" s="10" t="s">
        <v>81</v>
      </c>
      <c r="P12" s="1"/>
      <c r="Q12" s="1"/>
      <c r="R12" s="1"/>
      <c r="S12" s="1"/>
      <c r="T12" s="1"/>
      <c r="U12" s="1"/>
      <c r="V12" s="1"/>
      <c r="W12" s="1"/>
      <c r="X12" s="1"/>
      <c r="Y12" s="1"/>
      <c r="Z12" s="1"/>
    </row>
    <row r="13" spans="1:26">
      <c r="A13" s="1" t="s">
        <v>5</v>
      </c>
      <c r="B13" s="6">
        <v>2025</v>
      </c>
      <c r="C13" s="9">
        <v>15200000</v>
      </c>
      <c r="D13" s="9">
        <v>13200000</v>
      </c>
      <c r="E13" s="9">
        <v>647</v>
      </c>
      <c r="F13" s="9">
        <v>12591</v>
      </c>
      <c r="G13" s="9">
        <v>6351</v>
      </c>
      <c r="H13" s="8">
        <v>0.86842105263157898</v>
      </c>
      <c r="I13" s="9">
        <v>20401.854714064913</v>
      </c>
      <c r="J13" s="9">
        <v>1048.367881820348</v>
      </c>
      <c r="K13" s="9">
        <v>2078.4128483703353</v>
      </c>
      <c r="L13" s="8">
        <v>5.600000000000005E-2</v>
      </c>
      <c r="M13" s="8">
        <v>-6.7723342939481235E-2</v>
      </c>
      <c r="N13" s="1" t="s">
        <v>46</v>
      </c>
      <c r="O13" s="10" t="s">
        <v>82</v>
      </c>
      <c r="P13" s="1"/>
      <c r="Q13" s="1"/>
      <c r="R13" s="1"/>
      <c r="S13" s="1"/>
      <c r="T13" s="1"/>
      <c r="U13" s="1"/>
      <c r="V13" s="1"/>
      <c r="W13" s="1"/>
      <c r="X13" s="1"/>
      <c r="Y13" s="1"/>
      <c r="Z13" s="1"/>
    </row>
    <row r="14" spans="1:26">
      <c r="A14" s="1" t="s">
        <v>12</v>
      </c>
      <c r="B14" s="6">
        <v>2021</v>
      </c>
      <c r="C14" s="9">
        <v>20700000</v>
      </c>
      <c r="D14" s="9">
        <v>10200000</v>
      </c>
      <c r="E14" s="9">
        <v>1174</v>
      </c>
      <c r="F14" s="9">
        <v>22802</v>
      </c>
      <c r="G14" s="9">
        <v>6476</v>
      </c>
      <c r="H14" s="8">
        <v>0.49275362318840582</v>
      </c>
      <c r="I14" s="9">
        <v>8688.2453151618392</v>
      </c>
      <c r="J14" s="9">
        <v>447.32918165073238</v>
      </c>
      <c r="K14" s="9">
        <v>1575.0463248919086</v>
      </c>
      <c r="L14" s="8"/>
      <c r="M14" s="8"/>
      <c r="N14" s="1" t="s">
        <v>44</v>
      </c>
      <c r="O14" s="10" t="s">
        <v>83</v>
      </c>
      <c r="P14" s="1"/>
      <c r="Q14" s="1"/>
      <c r="R14" s="1"/>
      <c r="S14" s="1"/>
      <c r="T14" s="1"/>
      <c r="U14" s="1"/>
      <c r="V14" s="1"/>
      <c r="W14" s="1"/>
      <c r="X14" s="1"/>
      <c r="Y14" s="1"/>
      <c r="Z14" s="1"/>
    </row>
    <row r="15" spans="1:26">
      <c r="A15" s="1" t="s">
        <v>12</v>
      </c>
      <c r="B15" s="6">
        <v>2022</v>
      </c>
      <c r="C15" s="9">
        <v>22800000</v>
      </c>
      <c r="D15" s="9">
        <v>13000000</v>
      </c>
      <c r="E15" s="9">
        <v>1110</v>
      </c>
      <c r="F15" s="9">
        <v>23309</v>
      </c>
      <c r="G15" s="9">
        <v>6169</v>
      </c>
      <c r="H15" s="8">
        <v>0.57017543859649122</v>
      </c>
      <c r="I15" s="9">
        <v>11711.711711711712</v>
      </c>
      <c r="J15" s="9">
        <v>557.72448410485219</v>
      </c>
      <c r="K15" s="9">
        <v>2107.310747284811</v>
      </c>
      <c r="L15" s="8">
        <v>0.27450980392156854</v>
      </c>
      <c r="M15" s="8">
        <v>-5.4514480408858645E-2</v>
      </c>
      <c r="N15" s="1" t="s">
        <v>44</v>
      </c>
      <c r="O15" s="10" t="s">
        <v>83</v>
      </c>
      <c r="P15" s="1"/>
      <c r="Q15" s="1"/>
      <c r="R15" s="1"/>
      <c r="S15" s="1"/>
      <c r="T15" s="1"/>
      <c r="U15" s="1"/>
      <c r="V15" s="1"/>
      <c r="W15" s="1"/>
      <c r="X15" s="1"/>
      <c r="Y15" s="1"/>
      <c r="Z15" s="1"/>
    </row>
    <row r="16" spans="1:26">
      <c r="A16" s="1" t="s">
        <v>12</v>
      </c>
      <c r="B16" s="6">
        <v>2023</v>
      </c>
      <c r="C16" s="9">
        <v>24300000</v>
      </c>
      <c r="D16" s="9">
        <v>15000000</v>
      </c>
      <c r="E16" s="9">
        <v>1066</v>
      </c>
      <c r="F16" s="9">
        <v>21167</v>
      </c>
      <c r="G16" s="9">
        <v>6312</v>
      </c>
      <c r="H16" s="8">
        <v>0.61728395061728392</v>
      </c>
      <c r="I16" s="9">
        <v>14071.294559099437</v>
      </c>
      <c r="J16" s="9">
        <v>708.65025747626021</v>
      </c>
      <c r="K16" s="9">
        <v>2376.4258555133079</v>
      </c>
      <c r="L16" s="8">
        <v>0.15384615384615374</v>
      </c>
      <c r="M16" s="8">
        <v>-3.9639639639639679E-2</v>
      </c>
      <c r="N16" s="1" t="s">
        <v>78</v>
      </c>
      <c r="O16" s="10" t="s">
        <v>84</v>
      </c>
      <c r="P16" s="1"/>
      <c r="Q16" s="1"/>
      <c r="R16" s="1"/>
      <c r="S16" s="1"/>
      <c r="T16" s="1"/>
      <c r="U16" s="1"/>
      <c r="V16" s="1"/>
      <c r="W16" s="1"/>
      <c r="X16" s="1"/>
      <c r="Y16" s="1"/>
      <c r="Z16" s="1"/>
    </row>
    <row r="17" spans="1:26">
      <c r="A17" s="1" t="s">
        <v>12</v>
      </c>
      <c r="B17" s="6">
        <v>2024</v>
      </c>
      <c r="C17" s="9">
        <v>25000000</v>
      </c>
      <c r="D17" s="9">
        <v>16700000</v>
      </c>
      <c r="E17" s="9">
        <v>1012</v>
      </c>
      <c r="F17" s="9">
        <v>20560</v>
      </c>
      <c r="G17" s="9">
        <v>6496</v>
      </c>
      <c r="H17" s="8">
        <v>0.66800000000000004</v>
      </c>
      <c r="I17" s="9">
        <v>16501.97628458498</v>
      </c>
      <c r="J17" s="9">
        <v>812.25680933852141</v>
      </c>
      <c r="K17" s="9">
        <v>2570.8128078817736</v>
      </c>
      <c r="L17" s="8">
        <v>0.11333333333333329</v>
      </c>
      <c r="M17" s="8">
        <v>-5.0656660412757959E-2</v>
      </c>
      <c r="N17" s="1" t="s">
        <v>78</v>
      </c>
      <c r="O17" s="10" t="s">
        <v>85</v>
      </c>
      <c r="P17" s="1"/>
      <c r="Q17" s="1"/>
      <c r="R17" s="1"/>
      <c r="S17" s="1"/>
      <c r="T17" s="1"/>
      <c r="U17" s="1"/>
      <c r="V17" s="1"/>
      <c r="W17" s="1"/>
      <c r="X17" s="1"/>
      <c r="Y17" s="1"/>
      <c r="Z17" s="1"/>
    </row>
    <row r="18" spans="1:26">
      <c r="A18" s="1" t="s">
        <v>12</v>
      </c>
      <c r="B18" s="6">
        <v>2025</v>
      </c>
      <c r="C18" s="9">
        <v>25500000</v>
      </c>
      <c r="D18" s="9">
        <v>16200000</v>
      </c>
      <c r="E18" s="9">
        <v>997</v>
      </c>
      <c r="F18" s="9">
        <v>20630</v>
      </c>
      <c r="G18" s="9">
        <v>6855</v>
      </c>
      <c r="H18" s="8">
        <v>0.63529411764705879</v>
      </c>
      <c r="I18" s="9">
        <v>16248.746238716149</v>
      </c>
      <c r="J18" s="9">
        <v>785.2641783809986</v>
      </c>
      <c r="K18" s="9">
        <v>2363.2385120350109</v>
      </c>
      <c r="L18" s="8">
        <v>-2.9940119760479056E-2</v>
      </c>
      <c r="M18" s="8">
        <v>-1.4822134387351804E-2</v>
      </c>
      <c r="N18" s="1" t="s">
        <v>45</v>
      </c>
      <c r="O18" s="10" t="s">
        <v>86</v>
      </c>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sheetData>
  <mergeCells count="1">
    <mergeCell ref="A1:O1"/>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
  <sheetViews>
    <sheetView zoomScaleNormal="100" zoomScaleSheetLayoutView="100" workbookViewId="0"/>
  </sheetViews>
  <sheetFormatPr defaultRowHeight="15"/>
  <cols>
    <col min="1" max="1" width="10.625" customWidth="1"/>
    <col min="2" max="2" width="15.5" customWidth="1"/>
    <col min="3" max="3" width="17.75" customWidth="1"/>
    <col min="4" max="4" width="23.25" customWidth="1"/>
    <col min="5" max="5" width="21.625" customWidth="1"/>
    <col min="6" max="6" width="24.125" customWidth="1"/>
    <col min="7" max="7" width="19.75" customWidth="1"/>
    <col min="8" max="8" width="29.625" customWidth="1"/>
    <col min="9" max="9" width="21.5" customWidth="1"/>
    <col min="10" max="10" width="10.25" customWidth="1"/>
    <col min="11" max="11" width="14.5" customWidth="1"/>
    <col min="12" max="12" width="18.75" customWidth="1"/>
    <col min="13" max="13" width="21" customWidth="1"/>
    <col min="14" max="14" width="11" customWidth="1"/>
    <col min="15" max="15" width="18.25" customWidth="1"/>
    <col min="16" max="16" width="4" customWidth="1"/>
  </cols>
  <sheetData>
    <row r="1" spans="1:26" ht="27.95" customHeight="1">
      <c r="A1" s="11" t="s">
        <v>87</v>
      </c>
      <c r="B1" s="12"/>
      <c r="C1" s="12"/>
      <c r="D1" s="12"/>
      <c r="E1" s="12"/>
      <c r="F1" s="12"/>
      <c r="G1" s="12"/>
      <c r="H1" s="12"/>
      <c r="I1" s="12"/>
      <c r="J1" s="12"/>
      <c r="K1" s="12"/>
      <c r="L1" s="12"/>
      <c r="M1" s="12"/>
      <c r="N1" s="12"/>
      <c r="O1" s="12"/>
      <c r="P1" s="12"/>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c r="A3" s="5" t="s">
        <v>2</v>
      </c>
      <c r="B3" s="5" t="s">
        <v>36</v>
      </c>
      <c r="C3" s="5" t="s">
        <v>4</v>
      </c>
      <c r="D3" s="5" t="s">
        <v>74</v>
      </c>
      <c r="E3" s="5" t="s">
        <v>41</v>
      </c>
      <c r="F3" s="5" t="s">
        <v>42</v>
      </c>
      <c r="G3" s="5" t="s">
        <v>75</v>
      </c>
      <c r="H3" s="5" t="s">
        <v>88</v>
      </c>
      <c r="I3" s="5" t="s">
        <v>89</v>
      </c>
      <c r="J3" s="5" t="s">
        <v>43</v>
      </c>
      <c r="K3" s="5" t="s">
        <v>90</v>
      </c>
      <c r="L3" s="5" t="s">
        <v>91</v>
      </c>
      <c r="M3" s="5" t="s">
        <v>92</v>
      </c>
      <c r="N3" s="5" t="s">
        <v>93</v>
      </c>
      <c r="O3" s="5" t="s">
        <v>3</v>
      </c>
      <c r="P3" s="5" t="s">
        <v>94</v>
      </c>
      <c r="Q3" s="1"/>
      <c r="R3" s="1"/>
      <c r="S3" s="1"/>
      <c r="T3" s="1"/>
      <c r="U3" s="1"/>
      <c r="V3" s="1"/>
      <c r="W3" s="1"/>
      <c r="X3" s="1"/>
      <c r="Y3" s="1"/>
      <c r="Z3" s="1"/>
    </row>
    <row r="4" spans="1:26">
      <c r="A4" s="1" t="s">
        <v>5</v>
      </c>
      <c r="B4" s="7">
        <v>15.2</v>
      </c>
      <c r="C4" s="7">
        <v>13.2</v>
      </c>
      <c r="D4" s="8">
        <v>0.86842105263157898</v>
      </c>
      <c r="E4" s="9">
        <v>20401.854714064913</v>
      </c>
      <c r="F4" s="9">
        <v>1048.367881820348</v>
      </c>
      <c r="G4" s="9">
        <v>2078.4128483703353</v>
      </c>
      <c r="H4" s="8">
        <v>1</v>
      </c>
      <c r="I4" s="8">
        <v>-9.0014064697608975E-2</v>
      </c>
      <c r="J4" s="1" t="s">
        <v>46</v>
      </c>
      <c r="K4" s="7">
        <v>1</v>
      </c>
      <c r="L4" s="7">
        <v>0.64449033443077863</v>
      </c>
      <c r="M4" s="7">
        <v>1</v>
      </c>
      <c r="N4" s="7">
        <v>1</v>
      </c>
      <c r="O4" s="7">
        <v>0.89334710032923348</v>
      </c>
      <c r="P4" s="6">
        <v>1</v>
      </c>
      <c r="Q4" s="1"/>
      <c r="R4" s="1"/>
      <c r="S4" s="1"/>
      <c r="T4" s="1"/>
      <c r="U4" s="1"/>
      <c r="V4" s="1"/>
      <c r="W4" s="1"/>
      <c r="X4" s="1"/>
      <c r="Y4" s="1"/>
      <c r="Z4" s="1"/>
    </row>
    <row r="5" spans="1:26">
      <c r="A5" s="1" t="s">
        <v>6</v>
      </c>
      <c r="B5" s="7">
        <v>30.141660000000002</v>
      </c>
      <c r="C5" s="7">
        <v>18.040749000000002</v>
      </c>
      <c r="D5" s="8">
        <v>0.59853203174609493</v>
      </c>
      <c r="E5" s="9">
        <v>22692.766037735848</v>
      </c>
      <c r="F5" s="9">
        <v>773.91570503195919</v>
      </c>
      <c r="G5" s="9">
        <v>2750.9528819762122</v>
      </c>
      <c r="H5" s="8">
        <v>0.63410361272265314</v>
      </c>
      <c r="I5" s="8">
        <v>-8.830275229357798E-2</v>
      </c>
      <c r="J5" s="1" t="s">
        <v>44</v>
      </c>
      <c r="K5" s="7">
        <v>0</v>
      </c>
      <c r="L5" s="7">
        <v>1</v>
      </c>
      <c r="M5" s="7">
        <v>0</v>
      </c>
      <c r="N5" s="7">
        <v>0.11139448804072925</v>
      </c>
      <c r="O5" s="7">
        <v>0.32227889760814582</v>
      </c>
      <c r="P5" s="6">
        <v>2</v>
      </c>
      <c r="Q5" s="1"/>
      <c r="R5" s="1"/>
      <c r="S5" s="1"/>
      <c r="T5" s="1"/>
      <c r="U5" s="1"/>
      <c r="V5" s="1"/>
      <c r="W5" s="1"/>
      <c r="X5" s="1"/>
      <c r="Y5" s="1"/>
      <c r="Z5" s="1"/>
    </row>
    <row r="6" spans="1:26">
      <c r="A6" s="1" t="s">
        <v>12</v>
      </c>
      <c r="B6" s="7">
        <v>25.5</v>
      </c>
      <c r="C6" s="7">
        <v>16.2</v>
      </c>
      <c r="D6" s="8">
        <v>0.63529411764705879</v>
      </c>
      <c r="E6" s="9">
        <v>16248.746238716149</v>
      </c>
      <c r="F6" s="9">
        <v>785.2641783809986</v>
      </c>
      <c r="G6" s="9">
        <v>2363.2385120350109</v>
      </c>
      <c r="H6" s="8">
        <v>0.58823529411764697</v>
      </c>
      <c r="I6" s="8">
        <v>-0.15076660988074952</v>
      </c>
      <c r="J6" s="1" t="s">
        <v>45</v>
      </c>
      <c r="K6" s="7">
        <v>0.13621186138046826</v>
      </c>
      <c r="L6" s="7">
        <v>0</v>
      </c>
      <c r="M6" s="7">
        <v>4.1349547603659331E-2</v>
      </c>
      <c r="N6" s="7">
        <v>0</v>
      </c>
      <c r="O6" s="7">
        <v>4.9133467934872339E-2</v>
      </c>
      <c r="P6" s="6">
        <v>3</v>
      </c>
      <c r="Q6" s="1"/>
      <c r="R6" s="1"/>
      <c r="S6" s="1"/>
      <c r="T6" s="1"/>
      <c r="U6" s="1"/>
      <c r="V6" s="1"/>
      <c r="W6" s="1"/>
      <c r="X6" s="1"/>
      <c r="Y6" s="1"/>
      <c r="Z6" s="1"/>
    </row>
    <row r="7" spans="1:26">
      <c r="A7" s="1"/>
      <c r="B7" s="1"/>
      <c r="C7" s="1"/>
      <c r="D7" s="1"/>
      <c r="E7" s="1"/>
      <c r="F7" s="1"/>
      <c r="G7" s="1"/>
      <c r="H7" s="1"/>
      <c r="I7" s="1"/>
      <c r="J7" s="1"/>
      <c r="K7" s="1"/>
      <c r="L7" s="1"/>
      <c r="M7" s="1"/>
      <c r="N7" s="1"/>
      <c r="O7" s="1"/>
      <c r="P7" s="1"/>
      <c r="Q7" s="1"/>
      <c r="R7" s="1"/>
      <c r="S7" s="1"/>
      <c r="T7" s="1"/>
      <c r="U7" s="1"/>
      <c r="V7" s="1"/>
      <c r="W7" s="1"/>
      <c r="X7" s="1"/>
      <c r="Y7" s="1"/>
      <c r="Z7" s="1"/>
    </row>
    <row r="8" spans="1:26">
      <c r="A8" s="1"/>
      <c r="B8" s="1"/>
      <c r="C8" s="1"/>
      <c r="D8" s="1"/>
      <c r="E8" s="1"/>
      <c r="F8" s="1"/>
      <c r="G8" s="1"/>
      <c r="H8" s="1"/>
      <c r="I8" s="1"/>
      <c r="J8" s="1"/>
      <c r="K8" s="1"/>
      <c r="L8" s="1"/>
      <c r="M8" s="1"/>
      <c r="N8" s="1"/>
      <c r="O8" s="1"/>
      <c r="P8" s="1"/>
      <c r="Q8" s="1"/>
      <c r="R8" s="1"/>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sheetData>
  <mergeCells count="1">
    <mergeCell ref="A1:P1"/>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
  <sheetViews>
    <sheetView zoomScaleNormal="100" zoomScaleSheetLayoutView="100" workbookViewId="0">
      <selection activeCell="B15" sqref="B15"/>
    </sheetView>
  </sheetViews>
  <sheetFormatPr defaultRowHeight="15"/>
  <cols>
    <col min="1" max="1" width="22" customWidth="1"/>
    <col min="2" max="2" width="144.375" customWidth="1"/>
  </cols>
  <sheetData>
    <row r="1" spans="1:26" ht="27.95" customHeight="1">
      <c r="A1" s="11" t="s">
        <v>95</v>
      </c>
      <c r="B1" s="12"/>
      <c r="C1" s="1"/>
      <c r="D1" s="1"/>
      <c r="E1" s="1"/>
      <c r="F1" s="1"/>
      <c r="G1" s="1"/>
      <c r="H1" s="1"/>
      <c r="I1" s="1"/>
      <c r="J1" s="1"/>
      <c r="K1" s="1"/>
      <c r="L1" s="1"/>
      <c r="M1" s="1"/>
      <c r="N1" s="1"/>
      <c r="O1" s="1"/>
      <c r="P1" s="1"/>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c r="A3" s="5" t="s">
        <v>96</v>
      </c>
      <c r="B3" s="5" t="s">
        <v>97</v>
      </c>
      <c r="C3" s="1"/>
      <c r="D3" s="1"/>
      <c r="E3" s="1"/>
      <c r="F3" s="1"/>
      <c r="G3" s="1"/>
      <c r="H3" s="1"/>
      <c r="I3" s="1"/>
      <c r="J3" s="1"/>
      <c r="K3" s="1"/>
      <c r="L3" s="1"/>
      <c r="M3" s="1"/>
      <c r="N3" s="1"/>
      <c r="O3" s="1"/>
      <c r="P3" s="1"/>
      <c r="Q3" s="1"/>
      <c r="R3" s="1"/>
      <c r="S3" s="1"/>
      <c r="T3" s="1"/>
      <c r="U3" s="1"/>
      <c r="V3" s="1"/>
      <c r="W3" s="1"/>
      <c r="X3" s="1"/>
      <c r="Y3" s="1"/>
      <c r="Z3" s="1"/>
    </row>
    <row r="4" spans="1:26">
      <c r="A4" s="10" t="s">
        <v>98</v>
      </c>
      <c r="B4" s="10" t="s">
        <v>99</v>
      </c>
      <c r="C4" s="1"/>
      <c r="D4" s="1"/>
      <c r="E4" s="1"/>
      <c r="F4" s="1"/>
      <c r="G4" s="1"/>
      <c r="H4" s="1"/>
      <c r="I4" s="1"/>
      <c r="J4" s="1"/>
      <c r="K4" s="1"/>
      <c r="L4" s="1"/>
      <c r="M4" s="1"/>
      <c r="N4" s="1"/>
      <c r="O4" s="1"/>
      <c r="P4" s="1"/>
      <c r="Q4" s="1"/>
      <c r="R4" s="1"/>
      <c r="S4" s="1"/>
      <c r="T4" s="1"/>
      <c r="U4" s="1"/>
      <c r="V4" s="1"/>
      <c r="W4" s="1"/>
      <c r="X4" s="1"/>
      <c r="Y4" s="1"/>
      <c r="Z4" s="1"/>
    </row>
    <row r="5" spans="1:26">
      <c r="A5" s="10" t="s">
        <v>100</v>
      </c>
      <c r="B5" s="10" t="s">
        <v>101</v>
      </c>
      <c r="C5" s="1"/>
      <c r="D5" s="1"/>
      <c r="E5" s="1"/>
      <c r="F5" s="1"/>
      <c r="G5" s="1"/>
      <c r="H5" s="1"/>
      <c r="I5" s="1"/>
      <c r="J5" s="1"/>
      <c r="K5" s="1"/>
      <c r="L5" s="1"/>
      <c r="M5" s="1"/>
      <c r="N5" s="1"/>
      <c r="O5" s="1"/>
      <c r="P5" s="1"/>
      <c r="Q5" s="1"/>
      <c r="R5" s="1"/>
      <c r="S5" s="1"/>
      <c r="T5" s="1"/>
      <c r="U5" s="1"/>
      <c r="V5" s="1"/>
      <c r="W5" s="1"/>
      <c r="X5" s="1"/>
      <c r="Y5" s="1"/>
      <c r="Z5" s="1"/>
    </row>
    <row r="6" spans="1:26">
      <c r="A6" s="10" t="s">
        <v>3</v>
      </c>
      <c r="B6" s="10" t="s">
        <v>102</v>
      </c>
      <c r="C6" s="1"/>
      <c r="D6" s="1"/>
      <c r="E6" s="1"/>
      <c r="F6" s="1"/>
      <c r="G6" s="1"/>
      <c r="H6" s="1"/>
      <c r="I6" s="1"/>
      <c r="J6" s="1"/>
      <c r="K6" s="1"/>
      <c r="L6" s="1"/>
      <c r="M6" s="1"/>
      <c r="N6" s="1"/>
      <c r="O6" s="1"/>
      <c r="P6" s="1"/>
      <c r="Q6" s="1"/>
      <c r="R6" s="1"/>
      <c r="S6" s="1"/>
      <c r="T6" s="1"/>
      <c r="U6" s="1"/>
      <c r="V6" s="1"/>
      <c r="W6" s="1"/>
      <c r="X6" s="1"/>
      <c r="Y6" s="1"/>
      <c r="Z6" s="1"/>
    </row>
    <row r="7" spans="1:26">
      <c r="A7" s="10" t="s">
        <v>103</v>
      </c>
      <c r="B7" s="10" t="s">
        <v>104</v>
      </c>
      <c r="C7" s="1"/>
      <c r="D7" s="1"/>
      <c r="E7" s="1"/>
      <c r="F7" s="1"/>
      <c r="G7" s="1"/>
      <c r="H7" s="1"/>
      <c r="I7" s="1"/>
      <c r="J7" s="1"/>
      <c r="K7" s="1"/>
      <c r="L7" s="1"/>
      <c r="M7" s="1"/>
      <c r="N7" s="1"/>
      <c r="O7" s="1"/>
      <c r="P7" s="1"/>
      <c r="Q7" s="1"/>
      <c r="R7" s="1"/>
      <c r="S7" s="1"/>
      <c r="T7" s="1"/>
      <c r="U7" s="1"/>
      <c r="V7" s="1"/>
      <c r="W7" s="1"/>
      <c r="X7" s="1"/>
      <c r="Y7" s="1"/>
      <c r="Z7" s="1"/>
    </row>
    <row r="8" spans="1:26">
      <c r="A8" s="10" t="s">
        <v>105</v>
      </c>
      <c r="B8" s="10" t="s">
        <v>106</v>
      </c>
      <c r="C8" s="1"/>
      <c r="D8" s="1"/>
      <c r="E8" s="1"/>
      <c r="F8" s="1"/>
      <c r="G8" s="1"/>
      <c r="H8" s="1"/>
      <c r="I8" s="1"/>
      <c r="J8" s="1"/>
      <c r="K8" s="1"/>
      <c r="L8" s="1"/>
      <c r="M8" s="1"/>
      <c r="N8" s="1"/>
      <c r="O8" s="1"/>
      <c r="P8" s="1"/>
      <c r="Q8" s="1"/>
      <c r="R8" s="1"/>
      <c r="S8" s="1"/>
      <c r="T8" s="1"/>
      <c r="U8" s="1"/>
      <c r="V8" s="1"/>
      <c r="W8" s="1"/>
      <c r="X8" s="1"/>
      <c r="Y8" s="1"/>
      <c r="Z8" s="1"/>
    </row>
    <row r="9" spans="1:26">
      <c r="A9" s="10" t="s">
        <v>107</v>
      </c>
      <c r="B9" s="10" t="s">
        <v>108</v>
      </c>
      <c r="C9" s="1"/>
      <c r="D9" s="1"/>
      <c r="E9" s="1"/>
      <c r="F9" s="1"/>
      <c r="G9" s="1"/>
      <c r="H9" s="1"/>
      <c r="I9" s="1"/>
      <c r="J9" s="1"/>
      <c r="K9" s="1"/>
      <c r="L9" s="1"/>
      <c r="M9" s="1"/>
      <c r="N9" s="1"/>
      <c r="O9" s="1"/>
      <c r="P9" s="1"/>
      <c r="Q9" s="1"/>
      <c r="R9" s="1"/>
      <c r="S9" s="1"/>
      <c r="T9" s="1"/>
      <c r="U9" s="1"/>
      <c r="V9" s="1"/>
      <c r="W9" s="1"/>
      <c r="X9" s="1"/>
      <c r="Y9" s="1"/>
      <c r="Z9" s="1"/>
    </row>
    <row r="10" spans="1:26">
      <c r="A10" s="10" t="s">
        <v>109</v>
      </c>
      <c r="B10" s="10" t="s">
        <v>110</v>
      </c>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2026-05-21T12:18:08Z</dcterms:created>
  <dcterms:modified xsi:type="dcterms:W3CDTF">2026-05-21T12:18:08Z</dcterms:modified>
  <cp:category/>
  <cp:contentStatus/>
</cp:coreProperties>
</file>